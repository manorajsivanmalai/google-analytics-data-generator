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filterPrivacy="1" codeName="ThisWorkbook" defaultThemeVersion="124226"/>
  <xr:revisionPtr revIDLastSave="0" documentId="13_ncr:1_{0A4D5DAA-24C3-4112-96E8-288C69333F3B}" xr6:coauthVersionLast="46" xr6:coauthVersionMax="47" xr10:uidLastSave="{00000000-0000-0000-0000-000000000000}"/>
  <bookViews>
    <workbookView xWindow="-120" yWindow="-120" windowWidth="29040" windowHeight="15720" tabRatio="775" activeTab="3" xr2:uid="{00000000-000D-0000-FFFF-FFFF00000000}"/>
  </bookViews>
  <sheets>
    <sheet name="tbltransaction-organic" sheetId="44" r:id="rId1"/>
    <sheet name="tbltransaction-paid" sheetId="45" r:id="rId2"/>
    <sheet name="users-and-bounce-rate" sheetId="47" r:id="rId3"/>
    <sheet name="productsbouncerate" sheetId="48" r:id="rId4"/>
    <sheet name="Site - Month Graph" sheetId="3" r:id="rId5"/>
    <sheet name="No of Visitors" sheetId="7" r:id="rId6"/>
    <sheet name="Online Requests Trends" sheetId="18" r:id="rId7"/>
    <sheet name="Brochure And FlipBook Counts" sheetId="49" r:id="rId8"/>
    <sheet name="virtualshowroom" sheetId="50" r:id="rId9"/>
    <sheet name="Section Performance" sheetId="19" r:id="rId10"/>
    <sheet name="Traffic source" sheetId="29" r:id="rId11"/>
    <sheet name="age&amp;gender" sheetId="36" r:id="rId12"/>
    <sheet name="browser" sheetId="26" r:id="rId13"/>
    <sheet name="operatingSystem" sheetId="28" r:id="rId14"/>
    <sheet name="Landing&amp;Exits" sheetId="41" r:id="rId15"/>
    <sheet name="kpimonthly" sheetId="46" r:id="rId16"/>
    <sheet name="tfsinKpi" sheetId="51" r:id="rId17"/>
    <sheet name="referringSites" sheetId="52" r:id="rId18"/>
    <sheet name="MoM-Growth" sheetId="37" r:id="rId19"/>
    <sheet name="daywiseOneMonthVisits" sheetId="54" r:id="rId20"/>
    <sheet name="sesionIntrest" sheetId="33" r:id="rId21"/>
    <sheet name="networkReferral" sheetId="53" r:id="rId22"/>
    <sheet name="kpi-montly&amp;year" sheetId="42" r:id="rId23"/>
    <sheet name="Dealer-Website" sheetId="14" r:id="rId24"/>
  </sheets>
  <definedNames>
    <definedName name="_xlnm._FilterDatabase" localSheetId="23" hidden="1">'Dealer-Website'!$B$1:$B$75</definedName>
    <definedName name="_xlnm._FilterDatabase" localSheetId="21" hidden="1">networkReferral!$A$1:$D$10</definedName>
    <definedName name="_xlnm._FilterDatabase" localSheetId="9" hidden="1">'Section Performance'!#REF!</definedName>
  </definedNames>
  <calcPr calcId="181029"/>
</workbook>
</file>

<file path=xl/sharedStrings.xml><?xml version="1.0" encoding="utf-8"?>
<sst xmlns="http://schemas.openxmlformats.org/spreadsheetml/2006/main">
  <si>
    <t>Visits</t>
  </si>
  <si>
    <t>Page Views</t>
  </si>
  <si>
    <t>Month</t>
  </si>
  <si>
    <t>Bebbco Toyota</t>
  </si>
  <si>
    <t>Castle Toyota</t>
  </si>
  <si>
    <t>Commercial Toyota</t>
  </si>
  <si>
    <t>Galaxy Toyota</t>
  </si>
  <si>
    <t>Harsha Toyota</t>
  </si>
  <si>
    <t>Lakozy Toyota</t>
  </si>
  <si>
    <t>Lanson Toyota</t>
  </si>
  <si>
    <t>Pioneer Toyota</t>
  </si>
  <si>
    <t>Rajendra Toyota</t>
  </si>
  <si>
    <t>Sharayu Toyota</t>
  </si>
  <si>
    <t>Shodha Toyota</t>
  </si>
  <si>
    <t>Shree Toyota</t>
  </si>
  <si>
    <t>Sunny Toyota</t>
  </si>
  <si>
    <t>United Toyota</t>
  </si>
  <si>
    <t>Dealership</t>
  </si>
  <si>
    <t>Buy Now</t>
  </si>
  <si>
    <t>Test Drive</t>
  </si>
  <si>
    <t>Brochure</t>
  </si>
  <si>
    <t>%</t>
  </si>
  <si>
    <t>Amana Toyota</t>
  </si>
  <si>
    <t>Nandi Toyota</t>
  </si>
  <si>
    <t>Ravindu Toyota</t>
  </si>
  <si>
    <t>Mgf Toyota</t>
  </si>
  <si>
    <t>Palace Toyota</t>
  </si>
  <si>
    <t>Madhuban Toyota</t>
  </si>
  <si>
    <t>Grand Toyota</t>
  </si>
  <si>
    <t>Rajpal Toyota</t>
  </si>
  <si>
    <t>Date(mm/dd/yyyy)</t>
  </si>
  <si>
    <t>Infinium Toyota</t>
  </si>
  <si>
    <t>Topsel Toyota</t>
  </si>
  <si>
    <t>Millennium Toyota</t>
  </si>
  <si>
    <t>Nippon Toyota</t>
  </si>
  <si>
    <t>BJS Toyota</t>
  </si>
  <si>
    <t>DSK Toyota</t>
  </si>
  <si>
    <t>Karuna Toyota</t>
  </si>
  <si>
    <t>Thirty Six Toyota</t>
  </si>
  <si>
    <t>Satyam Toyota</t>
  </si>
  <si>
    <t>Malik Toyota</t>
  </si>
  <si>
    <t>Chaudhari Toyota</t>
  </si>
  <si>
    <t>Rathod Toyota</t>
  </si>
  <si>
    <t>Jai Ganesh Toyota</t>
  </si>
  <si>
    <t>Om Toyota</t>
  </si>
  <si>
    <t>Sonak Toyota</t>
  </si>
  <si>
    <t>Anant Toyota</t>
  </si>
  <si>
    <t>Rajyog Toyota</t>
  </si>
  <si>
    <t>Borah Toyota</t>
  </si>
  <si>
    <t>Podder Toyota</t>
  </si>
  <si>
    <t>Okusa Toyota</t>
  </si>
  <si>
    <t>Gargya Toyota</t>
  </si>
  <si>
    <t>JMK Toyota</t>
  </si>
  <si>
    <t>Saini Toyota</t>
  </si>
  <si>
    <t>Ansari Toyota</t>
  </si>
  <si>
    <t>Kakatiya Toyota</t>
  </si>
  <si>
    <t>Mascot Toyota</t>
  </si>
  <si>
    <t>Total</t>
  </si>
  <si>
    <t>b</t>
  </si>
  <si>
    <t>before sorting</t>
  </si>
  <si>
    <t>Anamallais Toyota</t>
  </si>
  <si>
    <t>views</t>
  </si>
  <si>
    <t>name</t>
  </si>
  <si>
    <t>March</t>
  </si>
  <si>
    <t>Sessions</t>
  </si>
  <si>
    <t>Grievance</t>
  </si>
  <si>
    <t>Requests</t>
  </si>
  <si>
    <t>/</t>
  </si>
  <si>
    <t>/showroom/innova/</t>
  </si>
  <si>
    <t>/pricelist/</t>
  </si>
  <si>
    <t>/showroom/glanza/</t>
  </si>
  <si>
    <t xml:space="preserve">Rudra Toyota </t>
  </si>
  <si>
    <t>Automotive Toyota</t>
  </si>
  <si>
    <t>Rajesh Toyota</t>
  </si>
  <si>
    <t>Punya Toyota</t>
  </si>
  <si>
    <t>Aravali Toyota</t>
  </si>
  <si>
    <t>Nanavati Toyota</t>
  </si>
  <si>
    <t>Narmada Toyota</t>
  </si>
  <si>
    <t>Shakti Toyota</t>
  </si>
  <si>
    <t>Kaizen Toyota</t>
  </si>
  <si>
    <t>Sanghi Toyota</t>
  </si>
  <si>
    <t>Heritage Toyota</t>
  </si>
  <si>
    <t>Shaw Toyota</t>
  </si>
  <si>
    <t>Satkar Toyota</t>
  </si>
  <si>
    <t>Dhanbad Toyota</t>
  </si>
  <si>
    <t>Sant Toyota</t>
  </si>
  <si>
    <t>Trust Toyota</t>
  </si>
  <si>
    <t>Camdir Toyota</t>
  </si>
  <si>
    <t>Patni Toyota</t>
  </si>
  <si>
    <t>IJM Toyota</t>
  </si>
  <si>
    <t>Highland Toyota</t>
  </si>
  <si>
    <t>/mobility-solutions/</t>
  </si>
  <si>
    <t>/showroom/camry/</t>
  </si>
  <si>
    <t>Users</t>
  </si>
  <si>
    <t>Pageviews</t>
  </si>
  <si>
    <t>Unique Pageviews</t>
  </si>
  <si>
    <t>Select Toyota</t>
  </si>
  <si>
    <t>AkashKrish Toyota</t>
  </si>
  <si>
    <t>Capital Toyota</t>
  </si>
  <si>
    <t>Prakash Toyota</t>
  </si>
  <si>
    <t>Dhir Toyota</t>
  </si>
  <si>
    <t>Fortune Toyota</t>
  </si>
  <si>
    <t>Anaamalais Toyota</t>
  </si>
  <si>
    <t>Default Channel Grouping</t>
  </si>
  <si>
    <t xml:space="preserve"> Toyota Vellfire</t>
  </si>
  <si>
    <t>Uttam Toyota</t>
  </si>
  <si>
    <t>Wasan Toyota</t>
  </si>
  <si>
    <t>Anand Toyota</t>
  </si>
  <si>
    <t>Palco Toyota</t>
  </si>
  <si>
    <t>Mody Toyota</t>
  </si>
  <si>
    <t>J D Toyota</t>
  </si>
  <si>
    <t>DJ Toyota</t>
  </si>
  <si>
    <t>Lakshmi Toyota</t>
  </si>
  <si>
    <t>Espirit Toyota</t>
  </si>
  <si>
    <t>Neelam Toyota</t>
  </si>
  <si>
    <t>Mayank Toyota</t>
  </si>
  <si>
    <t>Durgapur Toyota</t>
  </si>
  <si>
    <t>Munjani Toyota</t>
  </si>
  <si>
    <t>Pruthvi Toyota</t>
  </si>
  <si>
    <t>Swarn Toyota</t>
  </si>
  <si>
    <t>Laxmi Toyota</t>
  </si>
  <si>
    <t>Bhagawati Toyota</t>
  </si>
  <si>
    <t>Digvijay Toyota</t>
  </si>
  <si>
    <t>Sequel Toyota</t>
  </si>
  <si>
    <t>Poddar Toyota</t>
  </si>
  <si>
    <t>Murli Toyota</t>
  </si>
  <si>
    <t>Aditya Toyota</t>
  </si>
  <si>
    <t>R S Toyota</t>
  </si>
  <si>
    <t>Mohan Toyota</t>
  </si>
  <si>
    <t>Preet Toyota</t>
  </si>
  <si>
    <t>JSM Motors</t>
  </si>
  <si>
    <t>Crystal Toyota</t>
  </si>
  <si>
    <t>Zote Toyota</t>
  </si>
  <si>
    <t>Regent Toyota</t>
  </si>
  <si>
    <t>Autowings Toyota</t>
  </si>
  <si>
    <t>/showroom/fortuner/index-fortuner.html</t>
  </si>
  <si>
    <t>/showroom/urbancruiser-hyryder/</t>
  </si>
  <si>
    <t>/showroom/rumion/</t>
  </si>
  <si>
    <t>/showroom/innova-crysta/</t>
  </si>
  <si>
    <t>/showroom/hilux/</t>
  </si>
  <si>
    <t>(Month 2 - Month 1) / Month 1 * 100</t>
  </si>
  <si>
    <t>/showroom/vellfire/</t>
  </si>
  <si>
    <t>/showroom/lc300/</t>
  </si>
  <si>
    <t xml:space="preserve"> Toyota Lc300</t>
  </si>
  <si>
    <t>/showroom/urbancruiser-taisor/</t>
  </si>
  <si>
    <t xml:space="preserve"> Toyota Urbancruiser Taisor</t>
  </si>
  <si>
    <t xml:space="preserve"> Toyota Camry</t>
  </si>
  <si>
    <t xml:space="preserve"> Toyota Glanza</t>
  </si>
  <si>
    <t xml:space="preserve"> Toyota Urbancruiser Hyryder</t>
  </si>
  <si>
    <t xml:space="preserve"> Toyota Innova Hycross</t>
  </si>
  <si>
    <t xml:space="preserve"> Toyota Hilux</t>
  </si>
  <si>
    <t xml:space="preserve"> Toyota Innova Crysta</t>
  </si>
  <si>
    <t xml:space="preserve"> Toyota Fortuner</t>
  </si>
  <si>
    <t xml:space="preserve"> Toyota Rumion</t>
  </si>
  <si>
    <t>Page Views(Overall)</t>
  </si>
  <si>
    <t>Page Views(Mobile)</t>
  </si>
  <si>
    <t>Unique Visit</t>
  </si>
  <si>
    <t>Unique Visit(Overall)</t>
  </si>
  <si>
    <t>Unique Visit(Mobile)</t>
  </si>
  <si>
    <t>OVERALL</t>
  </si>
  <si>
    <t>MOBILE</t>
  </si>
  <si>
    <t>Tottal</t>
  </si>
  <si>
    <t xml:space="preserve">Percentage </t>
  </si>
  <si>
    <t>Page path</t>
  </si>
  <si>
    <t>S.No</t>
  </si>
  <si>
    <t>YEAR TO TILL</t>
  </si>
  <si>
    <t>Mothly</t>
  </si>
  <si>
    <t>Views</t>
  </si>
  <si>
    <t>Totall</t>
  </si>
  <si>
    <t>Average per day</t>
  </si>
  <si>
    <t>lowest</t>
  </si>
  <si>
    <t>lowest On</t>
  </si>
  <si>
    <t>Car Chapters</t>
  </si>
  <si>
    <t>Glanza</t>
  </si>
  <si>
    <t>Download Brochure - Glanza</t>
  </si>
  <si>
    <t>Urban Cruiser Taisor</t>
  </si>
  <si>
    <t>Download Brochure - Urban Cruiser Taisor</t>
  </si>
  <si>
    <t>Rumion</t>
  </si>
  <si>
    <t>Download Brochure - Rumion</t>
  </si>
  <si>
    <t>Urban Cruiser Hyryder</t>
  </si>
  <si>
    <t>Download Brochure - Urban Cruiser Hyryder</t>
  </si>
  <si>
    <t>Innova Crysta</t>
  </si>
  <si>
    <t>Download Brochure - Innova Crysta</t>
  </si>
  <si>
    <t>Innova Hycross</t>
  </si>
  <si>
    <t>Download Brochure - Innova Hycross</t>
  </si>
  <si>
    <t>Hilux</t>
  </si>
  <si>
    <t>Fortuner</t>
  </si>
  <si>
    <t>Download Brochure - Fortuner</t>
  </si>
  <si>
    <t>Legender</t>
  </si>
  <si>
    <t>Download Brochure - Legender</t>
  </si>
  <si>
    <t>Camry</t>
  </si>
  <si>
    <t>Download Brochure - Camry</t>
  </si>
  <si>
    <t>Vellfire</t>
  </si>
  <si>
    <t>Download Brochure - Vellfire</t>
  </si>
  <si>
    <t>Land Cruiser 300</t>
  </si>
  <si>
    <t>Download Brochure - Land Cruiser 300</t>
  </si>
  <si>
    <t>Brochure Downloaded Clicks label name</t>
  </si>
  <si>
    <t>https://analytics.google.com/analytics/web/?utm_source=marketingplatform.google.com&amp;utm_medium=et&amp;utm_campaign=marketingplatform.google.com%2Fabout%2Fanalytics%2F#/p353077807/reports/explorer?params=_u..nav%3Dmaui%26_u.comparisonOption%3Ddisabled%26_u.date00%3D20240901%26_u.date01%3D20240930%26_r..dataFilters%3D%5B%7B%22type%22:1,%22fieldName%22:%22unifiedPagePathScreen%22,%22evaluationType%22:8,%22expressionList%22:%5B%22%252Fshowroom%252Finnova%252F%22,%22%252F%22,%22%252Fshowroom%252Furbancruiser-hyryder%252F%22,%22%252Fshowroom%252Frumion%252F%22,%22%252Fshowroom%252Furbancruiser-taisor%252F%22,%22%252Fshowroom%252Ffortuner%252Findex-fortuner.html%22,%22%252Fshowroom%252Finnova-crysta%252F%22,%22%252Fshowroom%252Fglanza%252F%22,%22%252Fshowroom%252Fhilux%252F%22,%22%252Fshowroom%252Ffortuner%252Findex-legender.html%22,%22%252Fshowroom%252Fcamry%252F%22,%22%252Fshowroom%252Fvellfire%252F%22,%22%252Fshowroom%252Flc300%252F%22,%22%252Ftoyota-in-india%252Fdelivery-lead-time%252F%22,%22%252Fmobility-solutions%252F%22%5D,%22complement%22:false,%22isCaseSensitive%22:true,%22expression%22:%22%22%7D%5D%26_r.explorerCard..startRow%3D0%26_r.explorerCard..rowsPerPage%3D25&amp;r=6510807527&amp;ruid=all-pages-and-screens,life-cycle,engagement&amp;collectionId=6342606963</t>
  </si>
  <si>
    <t>Sl. No.</t>
  </si>
  <si>
    <t>Pages</t>
  </si>
  <si>
    <t>Avg. Load Time</t>
  </si>
  <si>
    <t>Bounce Rate</t>
  </si>
  <si>
    <t>Time Spent</t>
  </si>
  <si>
    <t>Total Pageviews</t>
  </si>
  <si>
    <t>Per day Avg</t>
  </si>
  <si>
    <t>Total Unique Pageviews</t>
  </si>
  <si>
    <t>Per day Avg.</t>
  </si>
  <si>
    <t>Overall Website (Avg)</t>
  </si>
  <si>
    <t>Home Page</t>
  </si>
  <si>
    <t>Product Pages (Avg)</t>
  </si>
  <si>
    <t xml:space="preserve">Innova Hycross </t>
  </si>
  <si>
    <t>LC300</t>
  </si>
  <si>
    <t>UC Hyryder</t>
  </si>
  <si>
    <t>UC Taisor</t>
  </si>
  <si>
    <t>Mobility Solution</t>
  </si>
  <si>
    <t>Delivery Lead Time</t>
  </si>
  <si>
    <t>Page path and screen class</t>
  </si>
  <si>
    <t>Bounce rate</t>
  </si>
  <si>
    <t>Average session duration</t>
  </si>
  <si>
    <t>Active users</t>
  </si>
  <si>
    <t>avg of product</t>
  </si>
  <si>
    <t>camry/</t>
  </si>
  <si>
    <t>fortuner.html</t>
  </si>
  <si>
    <t>fortuner/index-legender.html</t>
  </si>
  <si>
    <t>glanza/</t>
  </si>
  <si>
    <t>hilux/</t>
  </si>
  <si>
    <t>innova/</t>
  </si>
  <si>
    <t>innova-crysta/</t>
  </si>
  <si>
    <t>lc300/</t>
  </si>
  <si>
    <t>rumion/</t>
  </si>
  <si>
    <t>urbancruiser-hyryder/</t>
  </si>
  <si>
    <t>urbancruiser-taisor/</t>
  </si>
  <si>
    <t>vellfire/</t>
  </si>
  <si>
    <t>mobility-solutions/</t>
  </si>
  <si>
    <t>toyota-in-india/delivery-lead-time/</t>
  </si>
  <si>
    <t xml:space="preserve"> </t>
  </si>
  <si>
    <t>fortuner/index-fortuner.html</t>
  </si>
  <si>
    <t>/campaign/glanza/index.html</t>
  </si>
  <si>
    <t xml:space="preserve"> Toyota Legender</t>
  </si>
  <si>
    <t>Anaamalais Toyota Trichy</t>
  </si>
  <si>
    <t>Viva Toyota</t>
  </si>
  <si>
    <t>Globe Toyota</t>
  </si>
  <si>
    <t>month 1(last)</t>
  </si>
  <si>
    <t>month 2(current)</t>
  </si>
  <si>
    <t>Download Brochure - Hilux</t>
  </si>
  <si>
    <t>Legender Tab</t>
  </si>
  <si>
    <t>New Fortuner Tab</t>
  </si>
  <si>
    <t>View B</t>
  </si>
  <si>
    <t>Car Chapter View Brochure</t>
  </si>
  <si>
    <t>/showroom/fortuner/index-legender.html</t>
  </si>
  <si>
    <t>/toyota-in-india/delivery-lead-time/</t>
  </si>
  <si>
    <t>https://analytics.google.com/analytics/web/?authuser=0#/p353077807/reports/explorer?params=_u..nav%3Dmaui%26_u.comparisonOption%3Ddisabled%26_u.date00%3D20250101%26_u.date01%3D20250630%26_r..dataFilters%3D%5B%7B%22type%22:1,%22fieldName%22:%22customDimensionsGroup2Slot06%22,%22evaluationType%22:8,%22expressionList%22:%5B%22Download%20Brochure%20-%20Urban%20Cruiser%20Hyryder%22,%22Download%20Brochure%20-%20Innova%20Hycross%22,%22Download%20Brochure%20-%20Urban%20Cruiser%20Taisor%22,%22Download%20Brochure%20-%20Vellfire%22,%22Download%20Brochure%20-%20Hilux%22,%22Download%20Brochure%20-%20Land%20Cruiser%20300%22,%22Download%20Brochure%20-%20Rumion%22,%22Download%20Brochure%20-%20Camry%22,%22Download%20Brochure%20-%20Fortuner%22,%22Download%20Brochure%20-%20Innova%20Crysta%22,%22Download%20Brochure%20-%20Legender%22%5D,%22complement%22:false,%22isCaseSensitive%22:true,%22expression%22:%22%22%7D%5D%26_r.copa-filter-builder..filter-to-edit%3D%5B%7B%22type%22:1,%22fieldName%22:%22customDimensionsGroup2Slot06%22,%22evaluationType%22:8,%22expressionList%22:%5B%22Download%20Brochure%20-%20Urban%20Cruiser%20Hyryder%22,%22Download%20Brochure%20-%20Innova%20Hycross%22,%22Download%20Brochure%20-%20Urban%20Cruiser%20Taisor%22,%22Download%20Brochure%20-%20Vellfire%22,%22Download%20Brochure%20-%20Hilux%22,%22Download%20Brochure%20-%20Land%20Cruiser%20300%22,%22Download%20Brochure%20-%20Rumion%22,%22Download%20Brochure%20-%20Camry%22,%22Download%20Brochure%20-%20Fortuner%22,%22Download%20Brochure%20-%20Innova%20Crysta%22,%22Download%20Brochure%20-%20Legender%22%5D,%22complement%22:false,%22isCaseSensitive%22:true,%22expression%22:%22%22%7D%5D%26_r.explorerCard..seldim%3D%5B%22eventName%22,%22customDimensionsGroup2Slot06%22%5D%26_r.explorerCard..startRow%3D0%26_r.explorerCard..rowsPerPage%3D25&amp;ruid=top-events,life-cycle,engagement&amp;collectionId=6342606963&amp;r=7537197290</t>
  </si>
  <si>
    <t>Mar 2025</t>
  </si>
  <si>
    <t>Apr 2025</t>
  </si>
  <si>
    <t>May 2025</t>
  </si>
  <si>
    <t>Jun 2025</t>
  </si>
  <si>
    <t xml:space="preserve">Total(model-wise) </t>
  </si>
  <si>
    <t>Months</t>
  </si>
  <si>
    <t>Device</t>
  </si>
  <si>
    <t>Desktop Users</t>
  </si>
  <si>
    <t>Mobile Users</t>
  </si>
  <si>
    <t xml:space="preserve">MobileUsers </t>
  </si>
  <si>
    <t>Date</t>
  </si>
  <si>
    <t>Enquiry:-</t>
  </si>
  <si>
    <t>Month_Year</t>
  </si>
  <si>
    <t>Lead</t>
  </si>
  <si>
    <t>Apr-2025</t>
  </si>
  <si>
    <t>May-2025</t>
  </si>
  <si>
    <t>Jun-2025</t>
  </si>
  <si>
    <t>Brochure Downloaded Clicks</t>
  </si>
  <si>
    <t>Flipbook Clicks</t>
  </si>
  <si>
    <t>Download Brochure  Page Views</t>
  </si>
  <si>
    <t>Rumion Tab</t>
  </si>
  <si>
    <t>Virtual Showroom Car Chapters</t>
  </si>
  <si>
    <t>Avg Time Spent</t>
  </si>
  <si>
    <t>Percentage</t>
  </si>
  <si>
    <t>Final output</t>
  </si>
  <si>
    <t>SOURCES</t>
  </si>
  <si>
    <t>VISITS</t>
  </si>
  <si>
    <t>% VISITS</t>
  </si>
  <si>
    <t>SOURCE(Only Organic)</t>
  </si>
  <si>
    <t xml:space="preserve">VISITS </t>
  </si>
  <si>
    <t xml:space="preserve">PAGES/VISIT  </t>
  </si>
  <si>
    <t>overall</t>
  </si>
  <si>
    <t>mobile</t>
  </si>
  <si>
    <t>Cross-network</t>
  </si>
  <si>
    <t>Organic Search</t>
  </si>
  <si>
    <t>Paid Search</t>
  </si>
  <si>
    <t>Display</t>
  </si>
  <si>
    <t>Paid Social</t>
  </si>
  <si>
    <t>Unassigned</t>
  </si>
  <si>
    <t>Direct</t>
  </si>
  <si>
    <t>Paid Shopping</t>
  </si>
  <si>
    <t>Referral</t>
  </si>
  <si>
    <t>Paid Video</t>
  </si>
  <si>
    <t>Organic Social</t>
  </si>
  <si>
    <t>Organic Video</t>
  </si>
  <si>
    <t>Paid Other</t>
  </si>
  <si>
    <t>Mobile Push Notifications</t>
  </si>
  <si>
    <t>Organic Shopping</t>
  </si>
  <si>
    <t>Email</t>
  </si>
  <si>
    <t>google / cpc</t>
  </si>
  <si>
    <t>google / organic</t>
  </si>
  <si>
    <t>facebook / cpc</t>
  </si>
  <si>
    <t>(direct) / (none)</t>
  </si>
  <si>
    <t>facebook / cpl</t>
  </si>
  <si>
    <t>duckduckgo / organic</t>
  </si>
  <si>
    <t>bing / organic</t>
  </si>
  <si>
    <t>yahoo / organic</t>
  </si>
  <si>
    <t>ecosia.org / organic</t>
  </si>
  <si>
    <t>yandex / organic</t>
  </si>
  <si>
    <t>baidu / organic</t>
  </si>
  <si>
    <t>instagram / Organic</t>
  </si>
  <si>
    <t>naver / organic</t>
  </si>
  <si>
    <t>instagram / organic</t>
  </si>
  <si>
    <t>Chrome</t>
  </si>
  <si>
    <t>Android Webview</t>
  </si>
  <si>
    <t>Safari</t>
  </si>
  <si>
    <t>Safari (in-app)</t>
  </si>
  <si>
    <t>Samsung Internet</t>
  </si>
  <si>
    <t>Edge</t>
  </si>
  <si>
    <t>Firefox</t>
  </si>
  <si>
    <t>Opera</t>
  </si>
  <si>
    <t>(not set)</t>
  </si>
  <si>
    <t>UC Browser</t>
  </si>
  <si>
    <t>Android</t>
  </si>
  <si>
    <t>iOS</t>
  </si>
  <si>
    <t>Windows</t>
  </si>
  <si>
    <t>Macintosh</t>
  </si>
  <si>
    <t>Linux</t>
  </si>
  <si>
    <t>Chrome OS</t>
  </si>
  <si>
    <t>Tizen</t>
  </si>
  <si>
    <t>Xbox</t>
  </si>
  <si>
    <t>Android Browser</t>
  </si>
  <si>
    <t>Android Runtime</t>
  </si>
  <si>
    <t>Mozilla Compatible Agent</t>
  </si>
  <si>
    <t>total =</t>
  </si>
  <si>
    <t>PAGE</t>
  </si>
  <si>
    <t>PAGES / VISITS</t>
  </si>
  <si>
    <t>&lt;===  OverAll</t>
  </si>
  <si>
    <t>&lt;===  mobile</t>
  </si>
  <si>
    <t xml:space="preserve"> Per day Avg </t>
  </si>
  <si>
    <t xml:space="preserve"> Per day Avg. </t>
  </si>
  <si>
    <t xml:space="preserve"> Overall Website (Avg)</t>
  </si>
  <si>
    <t xml:space="preserve"> Home Page</t>
  </si>
  <si>
    <t xml:space="preserve"> Product Pages (Avg)</t>
  </si>
  <si>
    <t xml:space="preserve"> Camry</t>
  </si>
  <si>
    <t xml:space="preserve"> Fortuner</t>
  </si>
  <si>
    <t xml:space="preserve"> Legender</t>
  </si>
  <si>
    <t xml:space="preserve"> Glanza</t>
  </si>
  <si>
    <t xml:space="preserve"> Hilux</t>
  </si>
  <si>
    <t xml:space="preserve"> Innova Crysta</t>
  </si>
  <si>
    <t xml:space="preserve"> LC300</t>
  </si>
  <si>
    <t xml:space="preserve"> Rumion</t>
  </si>
  <si>
    <t xml:space="preserve"> UC Hyryder</t>
  </si>
  <si>
    <t xml:space="preserve"> UC Taisor</t>
  </si>
  <si>
    <t xml:space="preserve"> Vellfire</t>
  </si>
  <si>
    <t xml:space="preserve"> Mobility Solution</t>
  </si>
  <si>
    <t xml:space="preserve"> Innova Hycross</t>
  </si>
  <si>
    <t>160,598 </t>
  </si>
  <si>
    <t>No. of Monthly Visitors (Toyotabharat website)</t>
  </si>
  <si>
    <t>Online Enquiries/Leads(organic leads)</t>
  </si>
  <si>
    <t>No. of Visitors for TFS Landing Page</t>
  </si>
  <si>
    <t>No. of Visitors for EMI Calculator</t>
  </si>
  <si>
    <t>No. of Apply for Loan Clicks</t>
  </si>
  <si>
    <t>No. of Clicks on TFS Logo placed on Page Footer</t>
  </si>
  <si>
    <t>SOURCE</t>
  </si>
  <si>
    <t xml:space="preserve">PAGES/VISIT </t>
  </si>
  <si>
    <t>toyotapartsconnect.in / referral</t>
  </si>
  <si>
    <t>toyotafinance.co.in / referral</t>
  </si>
  <si>
    <t>nippon-toyota.com / referral</t>
  </si>
  <si>
    <t>surveys.numr.app / referral</t>
  </si>
  <si>
    <t>amanatoyota.com / referral</t>
  </si>
  <si>
    <t>chatgpt.com / referral</t>
  </si>
  <si>
    <t>l.wl.co / referral</t>
  </si>
  <si>
    <t>anaamalaistoyota.com / referral</t>
  </si>
  <si>
    <t>lansontoyota.com / referral</t>
  </si>
  <si>
    <t>millennium-toyota.com / referral</t>
  </si>
  <si>
    <t xml:space="preserve">SOCIAL NETWORK </t>
  </si>
  <si>
    <t>PAGE VIEWS</t>
  </si>
  <si>
    <t xml:space="preserve">PAGES / VISITS   </t>
  </si>
  <si>
    <t>News &amp; Politics/Avid News Readers</t>
  </si>
  <si>
    <t>Banking &amp; Finance/Avid Investors</t>
  </si>
  <si>
    <t>News &amp; Politics/Avid News Readers/Entertainment News Enthusiasts</t>
  </si>
  <si>
    <t>Sports &amp; Fitness/Sports Fans/Cricket Enthusiasts</t>
  </si>
  <si>
    <t>Technology/Mobile Enthusiasts</t>
  </si>
  <si>
    <t>Travel/Travel Buffs</t>
  </si>
  <si>
    <t>Technology/Technophiles</t>
  </si>
  <si>
    <t>Media &amp; Entertainment/Movie Lovers/Fans of South Asian Film</t>
  </si>
  <si>
    <t>News &amp; Politics/Avid News Readers/Avid Business News Readers</t>
  </si>
  <si>
    <t>Vehicles &amp; Transportation/Auto Enthusiasts</t>
  </si>
  <si>
    <t>Sports &amp; Fitness/Sports Fans</t>
  </si>
  <si>
    <t>Lifestyles &amp; Hobbies/Shutterbugs</t>
  </si>
  <si>
    <t>Media &amp; Entertainment/Movie Lovers</t>
  </si>
  <si>
    <t>BRANDINGINTEREST</t>
  </si>
  <si>
    <t>SESSIONS</t>
  </si>
  <si>
    <t>=</t>
  </si>
  <si>
    <t>userAgeBracket</t>
  </si>
  <si>
    <t>sessions</t>
  </si>
  <si>
    <t>unknown</t>
  </si>
  <si>
    <t>25-34</t>
  </si>
  <si>
    <t>35-44</t>
  </si>
  <si>
    <t>18-24</t>
  </si>
  <si>
    <t>45-54</t>
  </si>
  <si>
    <t>55-64</t>
  </si>
  <si>
    <t>65+</t>
  </si>
  <si>
    <t>userGender</t>
  </si>
  <si>
    <t>male</t>
  </si>
  <si>
    <t>female</t>
  </si>
  <si>
    <t>/showroom/vellfire</t>
  </si>
  <si>
    <t>/showroom/glanza</t>
  </si>
  <si>
    <t>/showroom/urbancruiser-hyryder</t>
  </si>
  <si>
    <t>/showroom/innova-crysta</t>
  </si>
  <si>
    <t>/showroom/innova</t>
  </si>
  <si>
    <t>facebook</t>
  </si>
  <si>
    <t>instagram</t>
  </si>
  <si>
    <t>linkedin</t>
  </si>
  <si>
    <t>t.co / referral</t>
  </si>
  <si>
    <t>bit.ly / referral</t>
  </si>
  <si>
    <t>google</t>
  </si>
  <si>
    <t>-</t>
  </si>
  <si>
    <t>/virtual-showroom/</t>
  </si>
  <si>
    <t>/virtual-showroom/urbancruiserhyryder.html</t>
  </si>
  <si>
    <t>/virtual-showroom/glanza.html</t>
  </si>
  <si>
    <t>/virtual-showroom/urbancruisertaisor.html</t>
  </si>
  <si>
    <t>/virtual-showroom/hilux.html</t>
  </si>
  <si>
    <t>/virtual-showroom/innova.html</t>
  </si>
  <si>
    <t>/virtual-showroom/fortuner.html</t>
  </si>
  <si>
    <t>/virtual-showroom/vellfire.html</t>
  </si>
  <si>
    <t>/virtual-showroom/legender.html</t>
  </si>
  <si>
    <t>/virtual-showroom/lc300.html</t>
  </si>
  <si>
    <t>/virtual-showroom/camry.html</t>
  </si>
  <si>
    <t>/virtual-showroom/innovacrysta.html</t>
  </si>
  <si>
    <t>/virtual-showroom/rumion.html</t>
  </si>
  <si>
    <t>/virtual-showroom/Innova.html</t>
  </si>
  <si>
    <t>/virtual-showroom//innova.html</t>
  </si>
  <si>
    <t>Shoppers/Shopping Enthusiasts</t>
  </si>
  <si>
    <t>(other)</t>
  </si>
  <si>
    <t>Jul-2025</t>
  </si>
  <si>
    <t>YaBrowser</t>
  </si>
  <si>
    <t>Jul 2025</t>
  </si>
  <si>
    <t xml:space="preserve">Total
(model-wise)
</t>
  </si>
  <si>
    <t>2m 26s</t>
  </si>
  <si>
    <t>UNIX</t>
  </si>
  <si>
    <t>160.32509968953289</t>
  </si>
  <si>
    <t>07</t>
  </si>
  <si>
    <t>06</t>
  </si>
  <si>
    <t>01</t>
  </si>
  <si>
    <t>05</t>
  </si>
  <si>
    <t>192.99797452930019</t>
  </si>
  <si>
    <t>03</t>
  </si>
  <si>
    <t>02</t>
  </si>
  <si>
    <t>04</t>
  </si>
  <si>
    <t>08</t>
  </si>
  <si>
    <t>138.74365894955909</t>
  </si>
  <si>
    <t>146.44372248043729</t>
  </si>
  <si>
    <t>5.2740250689655177</t>
  </si>
  <si>
    <t>Visits (Sessions)</t>
  </si>
  <si>
    <t>Average Time on Site</t>
  </si>
  <si>
    <t>Unique Users</t>
  </si>
  <si>
    <t>page/visti</t>
  </si>
  <si>
    <t>News &amp; Politics/Avid News Readers/Avid Political News Readers</t>
  </si>
  <si>
    <t>/campaign/urbancruiser-hyryder</t>
  </si>
  <si>
    <t>/showroom/camry</t>
  </si>
  <si>
    <t>/campaign/lc300/index.html</t>
  </si>
  <si>
    <t>away.vk.com / referral</t>
  </si>
  <si>
    <t>tripadvisor.com.my / referral</t>
  </si>
  <si>
    <t>Aug-2025</t>
  </si>
  <si>
    <t>nanditoyota.com / referral</t>
  </si>
  <si>
    <t>search.brave.com / referral</t>
  </si>
  <si>
    <t>/virtual-showroom/urbancruiser.html</t>
  </si>
  <si>
    <t>3m 57s</t>
  </si>
  <si>
    <t>3m 30s</t>
  </si>
  <si>
    <t>Fuchsia</t>
  </si>
  <si>
    <t>SymbianOS</t>
  </si>
  <si>
    <t>BlackBerry</t>
  </si>
  <si>
    <t>mygate / cpm</t>
  </si>
  <si>
    <t>avg / organic</t>
  </si>
  <si>
    <t>Aug 2025</t>
  </si>
  <si>
    <t>3411</t>
  </si>
  <si>
    <t>6050</t>
  </si>
  <si>
    <t xml:space="preserve"> J D Toyota</t>
  </si>
  <si>
    <t>Kairali Toyota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</si>
  <si>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</si>
  <si>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</si>
  <si>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</si>
  <si>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</si>
  <si>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</si>
  <si>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</si>
  <si>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</si>
  <si>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</si>
  <si>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</si>
  <si>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</si>
  <si>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</si>
  <si>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</si>
  <si>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</si>
  <si>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</si>
  <si>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</si>
  <si>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</si>
  <si>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</si>
  <si>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</si>
  <si>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</si>
  <si>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</si>
  <si>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</si>
  <si>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</si>
  <si>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</si>
  <si>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</si>
  <si>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</si>
  <si>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</si>
  <si>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</si>
  <si>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</si>
  <si>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</si>
  <si>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</si>
  <si>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/virtual-showroom</t>
  </si>
  <si>
    <t>/pricelist</t>
  </si>
  <si>
    <t>/campaign/vellfire/index.html</t>
  </si>
  <si>
    <t>/showroom/urbancruiser-taisor</t>
  </si>
  <si>
    <t>pinterest</t>
  </si>
  <si>
    <t>snapchat.com / referral</t>
  </si>
  <si>
    <t>Sep-2025</t>
  </si>
  <si>
    <t>qr-codes.io / referral</t>
  </si>
  <si>
    <t>harshatoyota.com / referral</t>
  </si>
  <si>
    <t>ravindutoyota.net / referral</t>
  </si>
  <si>
    <t>/campaign/urbancruiser-hyryder/</t>
  </si>
  <si>
    <t>19.58%</t>
  </si>
  <si>
    <t>15.77%</t>
  </si>
  <si>
    <t>00:01:20</t>
  </si>
  <si>
    <t>00:01:12</t>
  </si>
  <si>
    <t>85543</t>
  </si>
  <si>
    <t>267924</t>
  </si>
  <si>
    <t>56019</t>
  </si>
  <si>
    <t>26760</t>
  </si>
  <si>
    <t>25664</t>
  </si>
  <si>
    <t>17783</t>
  </si>
  <si>
    <t>14915</t>
  </si>
  <si>
    <t>14673</t>
  </si>
  <si>
    <t>13433</t>
  </si>
  <si>
    <t>8677</t>
  </si>
  <si>
    <t>10007</t>
  </si>
  <si>
    <t>3599</t>
  </si>
  <si>
    <t>4072</t>
  </si>
  <si>
    <t>17612</t>
  </si>
  <si>
    <t>3789</t>
  </si>
  <si>
    <t>7584</t>
  </si>
  <si>
    <t>2519</t>
  </si>
  <si>
    <t>7185</t>
  </si>
  <si>
    <t>6315</t>
  </si>
  <si>
    <t>1782</t>
  </si>
  <si>
    <t>1m 59s</t>
  </si>
  <si>
    <t>4m 15s</t>
  </si>
  <si>
    <t>5m 15s</t>
  </si>
  <si>
    <t>5m 08s</t>
  </si>
  <si>
    <t>2m 35s</t>
  </si>
  <si>
    <t>2m 51s</t>
  </si>
  <si>
    <t>3m 55s</t>
  </si>
  <si>
    <t>3m 35s</t>
  </si>
  <si>
    <t>2m 27s</t>
  </si>
  <si>
    <t>5m 09s</t>
  </si>
  <si>
    <t>4m 29s</t>
  </si>
  <si>
    <t>3m 34s</t>
  </si>
  <si>
    <t>4m 50s</t>
  </si>
  <si>
    <t>57s</t>
  </si>
  <si>
    <t>/virtual-showroom/index.html</t>
  </si>
  <si>
    <t>41s</t>
  </si>
  <si>
    <t>2m 38s</t>
  </si>
  <si>
    <t>2m 39s</t>
  </si>
  <si>
    <t>2m 53s</t>
  </si>
  <si>
    <t>5m 17s</t>
  </si>
  <si>
    <t>2m 13s</t>
  </si>
  <si>
    <t>4m 08s</t>
  </si>
  <si>
    <t>3m 03s</t>
  </si>
  <si>
    <t>2m 23s</t>
  </si>
  <si>
    <t>4m 57s</t>
  </si>
  <si>
    <t>4m 35s</t>
  </si>
  <si>
    <t>6m 25s</t>
  </si>
  <si>
    <t>Internet Explorer</t>
  </si>
  <si>
    <t>Nokia</t>
  </si>
  <si>
    <t>Windows Phone</t>
  </si>
  <si>
    <t>linkedin / form</t>
  </si>
  <si>
    <t>linkedin / form-p1</t>
  </si>
  <si>
    <t>spotify / cpm</t>
  </si>
  <si>
    <t>paytm / cpm</t>
  </si>
  <si>
    <t>qwant.com / organic</t>
  </si>
  <si>
    <t>Sep 2025</t>
  </si>
  <si>
    <t>Budha Toyota</t>
  </si>
  <si>
    <t>7,380 </t>
  </si>
  <si>
    <t>5,674 </t>
  </si>
  <si>
    <t xml:space="preserve">01-10-2025</t>
  </si>
  <si>
    <t xml:space="preserve">02-10-2025</t>
  </si>
  <si>
    <t xml:space="preserve">03-10-2025</t>
  </si>
  <si>
    <t xml:space="preserve">04-10-2025</t>
  </si>
  <si>
    <t xml:space="preserve">05-10-2025</t>
  </si>
  <si>
    <t xml:space="preserve">06-10-2025</t>
  </si>
  <si>
    <t xml:space="preserve">07-10-2025</t>
  </si>
  <si>
    <t xml:space="preserve">08-10-2025</t>
  </si>
  <si>
    <t xml:space="preserve">09-10-2025</t>
  </si>
  <si>
    <t xml:space="preserve">10-10-2025</t>
  </si>
  <si>
    <t xml:space="preserve">11-10-2025</t>
  </si>
  <si>
    <t xml:space="preserve">12-10-2025</t>
  </si>
  <si>
    <t xml:space="preserve">13-10-2025</t>
  </si>
  <si>
    <t xml:space="preserve">14-10-2025</t>
  </si>
  <si>
    <t xml:space="preserve">15-10-2025</t>
  </si>
  <si>
    <t xml:space="preserve">16-10-2025</t>
  </si>
  <si>
    <t xml:space="preserve">17-10-2025</t>
  </si>
  <si>
    <t xml:space="preserve">18-10-2025</t>
  </si>
  <si>
    <t xml:space="preserve">19-10-2025</t>
  </si>
  <si>
    <t xml:space="preserve">20-10-2025</t>
  </si>
  <si>
    <t xml:space="preserve">21-10-2025</t>
  </si>
  <si>
    <t xml:space="preserve">22-10-2025</t>
  </si>
  <si>
    <t xml:space="preserve">23-10-2025</t>
  </si>
  <si>
    <t xml:space="preserve">24-10-2025</t>
  </si>
  <si>
    <t xml:space="preserve">25-10-2025</t>
  </si>
  <si>
    <t xml:space="preserve">26-10-2025</t>
  </si>
  <si>
    <t xml:space="preserve">27-10-2025</t>
  </si>
  <si>
    <t xml:space="preserve">28-10-2025</t>
  </si>
  <si>
    <t xml:space="preserve">29-10-2025</t>
  </si>
  <si>
    <t xml:space="preserve">30-10-2025</t>
  </si>
  <si>
    <t xml:space="preserve">31-10-2025</t>
  </si>
  <si>
    <t xml:space="preserve">/campaign/hilux</t>
  </si>
  <si>
    <t xml:space="preserve">tripadvisor.com / referral</t>
  </si>
  <si>
    <t xml:space="preserve">yourcarwala.blogspot.com / referral</t>
  </si>
  <si>
    <t xml:space="preserve">Oct-2025</t>
  </si>
  <si>
    <t xml:space="preserve">bharattoyota.com / referral</t>
  </si>
  <si>
    <t xml:space="preserve">jobsaddafreshers.com / referral</t>
  </si>
  <si>
    <t xml:space="preserve">drum-tao.com / referral</t>
  </si>
  <si>
    <t xml:space="preserve">/Showroom/fortuner/index-legender.html</t>
  </si>
  <si>
    <t xml:space="preserve">50.00%</t>
  </si>
  <si>
    <t xml:space="preserve">/showroom/Glanza/</t>
  </si>
  <si>
    <t xml:space="preserve">0.00%</t>
  </si>
  <si>
    <t xml:space="preserve">/showroom/Innova/</t>
  </si>
  <si>
    <t xml:space="preserve">/showroom/Rumion/</t>
  </si>
  <si>
    <t xml:space="preserve">70.00%</t>
  </si>
  <si>
    <t xml:space="preserve">/showroom/UrbanCruiser-hyryder/</t>
  </si>
  <si>
    <t xml:space="preserve">68.60%</t>
  </si>
  <si>
    <t xml:space="preserve">36.04%</t>
  </si>
  <si>
    <t xml:space="preserve">14.71%</t>
  </si>
  <si>
    <t xml:space="preserve">41.69%</t>
  </si>
  <si>
    <t xml:space="preserve">18.30%</t>
  </si>
  <si>
    <t xml:space="preserve">/showroom/innova-Crysta/</t>
  </si>
  <si>
    <t xml:space="preserve">57.14%</t>
  </si>
  <si>
    <t xml:space="preserve">21.86%</t>
  </si>
  <si>
    <t xml:space="preserve">15.68%</t>
  </si>
  <si>
    <t xml:space="preserve">21.62%</t>
  </si>
  <si>
    <t xml:space="preserve">14.36%</t>
  </si>
  <si>
    <t xml:space="preserve">50.61%</t>
  </si>
  <si>
    <t xml:space="preserve">13.97%</t>
  </si>
  <si>
    <t xml:space="preserve">63.26%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</si>
</sst>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,##0;[Red]#,##0"/>
    <numFmt numFmtId="165" formatCode="[$-409]mmm\-yy;@"/>
    <numFmt numFmtId="166" formatCode="[$-F800]dddd\,\ mmmm\ dd\,\ yyyy"/>
    <numFmt numFmtId="167" formatCode="[&gt;=10000000]##\,##\,##\,##0;[&gt;=100000]\ ##\,##\,##0;##,##0"/>
    <numFmt numFmtId="168" formatCode="#,##0.00;[Red]#,##0.00"/>
    <numFmt numFmtId="169" formatCode="_ * #,##0_ ;_ * \-#,##0_ ;_ * &quot;-&quot;??_ ;_ @_ "/>
  </numFmts>
  <fonts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1"/>
      <color rgb="FF000000"/>
      <name val="Garamond"/>
      <family val="1"/>
    </font>
    <font>
      <sz val="11"/>
      <color theme="1"/>
      <name val="Garamond"/>
      <family val="1"/>
    </font>
    <font>
      <sz val="11"/>
      <color rgb="FF222222"/>
      <name val="Arial"/>
      <family val="2"/>
    </font>
    <font>
      <sz val="15"/>
      <color rgb="FF333333"/>
      <name val="Arial"/>
      <family val="2"/>
    </font>
    <font>
      <sz val="18"/>
      <color rgb="FF222222"/>
      <name val="Arial"/>
      <family val="2"/>
    </font>
    <font>
      <sz val="16"/>
      <color rgb="FF333333"/>
      <name val="Arial"/>
      <family val="2"/>
    </font>
    <font>
      <b/>
      <u/>
      <sz val="16"/>
      <color rgb="FF000000"/>
      <name val="Trebuchet MS"/>
      <family val="2"/>
    </font>
    <font>
      <sz val="16"/>
      <color rgb="FF222222"/>
      <name val="Arial"/>
      <family val="2"/>
    </font>
    <font>
      <sz val="16"/>
      <color rgb="FF000000"/>
      <name val="Garamond"/>
      <family val="1"/>
    </font>
    <font>
      <sz val="16"/>
      <color theme="1"/>
      <name val="Garamond"/>
      <family val="1"/>
    </font>
    <font>
      <sz val="12"/>
      <name val="Calibri"/>
      <family val="1"/>
      <scheme val="minor"/>
    </font>
    <font>
      <sz val="14"/>
      <color rgb="FF222222"/>
      <name val="Arial"/>
      <family val="2"/>
    </font>
    <font>
      <sz val="10"/>
      <name val="Arial"/>
      <family val="2"/>
    </font>
    <font>
      <sz val="10"/>
      <color rgb="FF222222"/>
      <name val="Arial"/>
      <family val="2"/>
    </font>
    <font>
      <sz val="10"/>
      <color rgb="FF000000"/>
      <name val="Arial"/>
      <family val="2"/>
    </font>
    <font>
      <sz val="12"/>
      <color rgb="FF404040"/>
      <name val="Roboto Medium"/>
    </font>
    <font>
      <sz val="11"/>
      <color rgb="FF202124"/>
      <name val="Arial"/>
      <family val="2"/>
    </font>
    <font>
      <sz val="16"/>
      <color rgb="FF000000"/>
      <name val="Toyota type"/>
    </font>
    <font>
      <sz val="16"/>
      <color rgb="FF404040"/>
      <name val="Toyota Type Light"/>
    </font>
    <font>
      <sz val="16"/>
      <color rgb="FF000000"/>
      <name val="Toyota Type Light"/>
    </font>
    <font>
      <sz val="12"/>
      <color rgb="FF000000"/>
      <name val="Toyota Type Light"/>
    </font>
    <font>
      <b/>
      <sz val="12"/>
      <color rgb="FF000000"/>
      <name val="Toyota Type Light"/>
    </font>
    <font>
      <sz val="11"/>
      <color rgb="FF202124"/>
      <name val="Arial"/>
      <family val="2"/>
    </font>
    <font>
      <sz val="12"/>
      <name val="Cambria"/>
      <family val="1"/>
      <scheme val="major"/>
    </font>
    <font>
      <sz val="11"/>
      <name val="Arial"/>
      <family val="2"/>
    </font>
    <font>
      <sz val="11"/>
      <color rgb="FF202124"/>
      <name val="Arial"/>
      <family val="2"/>
    </font>
    <font>
      <sz val="11"/>
      <color rgb="FF202124"/>
      <name val="Arial"/>
      <family val="2"/>
    </font>
    <font>
      <sz val="18"/>
      <name val="Arial"/>
      <family val="2"/>
    </font>
    <font>
      <b/>
      <i/>
      <sz val="8"/>
      <name val="Arial"/>
      <family val="2"/>
    </font>
    <font>
      <i/>
      <sz val="8"/>
      <color rgb="FF000000"/>
      <name val="Arial"/>
      <family val="2"/>
    </font>
    <font>
      <sz val="14"/>
      <color rgb="FF000000"/>
      <name val="Toyota Type Light"/>
    </font>
    <font>
      <sz val="11"/>
      <color rgb="FF202124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Toyota type light"/>
    </font>
    <font>
      <sz val="10"/>
      <color rgb="FF000000"/>
      <name val="Toyota type light"/>
    </font>
    <font>
      <sz val="10"/>
      <color rgb="FF202124"/>
      <name val="Toyota type light"/>
    </font>
    <font>
      <sz val="10"/>
      <color theme="1"/>
      <name val="Roboto"/>
    </font>
    <font>
      <sz val="11"/>
      <color rgb="FF202124"/>
      <name val="Arial"/>
      <family val="2"/>
    </font>
    <font>
      <sz val="11"/>
      <color rgb="FF202124"/>
      <name val="Roboto"/>
    </font>
    <font>
      <sz val="11"/>
      <color rgb="FF202124"/>
      <name val="Arial"/>
      <family val="2"/>
    </font>
    <font>
      <sz val="11"/>
      <color rgb="FF202124"/>
      <name val="Arial"/>
      <family val="2"/>
    </font>
    <font>
      <sz val="11"/>
      <color rgb="FF202124"/>
      <name val="Arial"/>
      <family val="2"/>
    </font>
    <font>
      <sz val="9"/>
      <color rgb="FF231918"/>
      <name val="Courier New"/>
      <family val="3"/>
    </font>
    <font>
      <sz val="11"/>
      <color rgb="FF202124"/>
      <name val="Arial"/>
      <family val="2"/>
    </font>
    <font>
      <b/>
      <sz val="16"/>
      <color rgb="FF262626"/>
      <name val="Toyota Type Light"/>
    </font>
    <font>
      <sz val="14"/>
      <color rgb="FF202124"/>
      <name val="Toyota Type Light"/>
    </font>
    <font>
      <b/>
      <sz val="16"/>
      <color rgb="FF000000"/>
      <name val="Toyota Type Light"/>
    </font>
    <font>
      <sz val="10"/>
      <color rgb="FF404040"/>
      <name val="Toyota Type Light"/>
    </font>
    <font>
      <sz val="10"/>
      <name val="Toyota Type Light"/>
    </font>
    <font>
      <b/>
      <sz val="10"/>
      <name val="Toyota Type Light"/>
    </font>
    <font>
      <u/>
      <sz val="10"/>
      <name val="Toyota Type Light"/>
    </font>
    <font>
      <sz val="14"/>
      <name val="Arial"/>
      <family val="2"/>
    </font>
    <font>
      <sz val="11"/>
      <color rgb="FF202124"/>
      <name val="Arial"/>
      <family val="2"/>
    </font>
    <font>
      <sz val="11"/>
      <color rgb="FF202124"/>
      <name val="Arial"/>
      <family val="2"/>
    </font>
    <font>
      <sz val="14"/>
      <color rgb="FF262626"/>
      <name val="Toyota Type Light"/>
    </font>
    <font>
      <sz val="14"/>
      <name val="Toyota Type Light"/>
    </font>
    <font>
      <b/>
      <i/>
      <sz val="10"/>
      <name val="Arial"/>
      <family val="2"/>
    </font>
    <font>
      <sz val="14"/>
      <color rgb="FF0070C0"/>
      <name val="Toyota Type Light"/>
    </font>
    <font>
      <b/>
      <sz val="14"/>
      <name val="Toyota Type Light"/>
    </font>
    <font>
      <b/>
      <i/>
      <sz val="14"/>
      <name val="Toyota Type Light"/>
    </font>
    <font>
      <b/>
      <sz val="12"/>
      <color rgb="FFFFFFFF"/>
      <name val="Toyota Type Light"/>
    </font>
    <font>
      <sz val="10.5"/>
      <color rgb="FF000000"/>
      <name val="Toyota Type Light"/>
    </font>
    <font>
      <sz val="18"/>
      <color rgb="FF000000"/>
      <name val="Calibri"/>
      <family val="2"/>
    </font>
    <font>
      <b/>
      <sz val="10"/>
      <name val="Cambria"/>
      <family val="1"/>
      <scheme val="major"/>
    </font>
    <font>
      <b/>
      <sz val="11"/>
      <name val="Cambria"/>
      <family val="1"/>
      <scheme val="major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b/>
      <sz val="16"/>
      <color rgb="FF000000"/>
      <name val="Trebuchet MS"/>
      <family val="2"/>
    </font>
    <font>
      <b/>
      <sz val="12"/>
      <color rgb="FF000000"/>
      <name val="Arial"/>
      <family val="2"/>
    </font>
    <font>
      <sz val="12"/>
      <name val="Arial"/>
      <family val="2"/>
    </font>
    <font>
      <b/>
      <sz val="12"/>
      <name val="Toyota Type Light"/>
    </font>
    <font>
      <b/>
      <sz val="14"/>
      <color rgb="FF262626"/>
      <name val="Toyota Type Light"/>
    </font>
    <font>
      <sz val="16"/>
      <name val="Toyota Type Light"/>
    </font>
    <font>
      <sz val="12"/>
      <color rgb="FF202124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b/>
      <sz val="14"/>
      <name val="Toyota Type Light"/>
    </font>
    <font>
      <b/>
      <sz val="14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b/>
      <sz val="14"/>
      <name val="Toyota Type Light"/>
      <family val="2"/>
    </font>
    <font>
      <b/>
      <sz val="14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b/>
      <sz val="14"/>
      <name val="Toyota Type Light"/>
      <family val="2"/>
    </font>
    <font>
      <b/>
      <sz val="14"/>
      <name val="Toyota Type Light"/>
    </font>
    <font>
      <sz val="12"/>
      <name val="Toyota Type Light"/>
      <family val="2"/>
    </font>
    <font>
      <sz val="12"/>
      <name val="Toyota Type Light"/>
      <family val="2"/>
    </font>
    <font>
      <sz val="12"/>
      <name val="Toyota Type Light"/>
    </font>
    <font>
      <sz val="12"/>
      <name val="Toyota Type Light"/>
      <family val="2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b/>
      <sz val="14"/>
      <name val="Toyota Type Light"/>
    </font>
    <font>
      <b/>
      <sz val="14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b/>
      <sz val="14"/>
      <name val="Toyota Type Light"/>
      <family val="2"/>
    </font>
    <font>
      <b/>
      <sz val="14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b/>
      <sz val="14"/>
      <name val="Toyota Type Light"/>
      <family val="2"/>
    </font>
    <font>
      <b/>
      <sz val="14"/>
      <name val="Toyota Type Light"/>
    </font>
    <font>
      <sz val="12"/>
      <name val="Toyota Type Light"/>
      <family val="2"/>
    </font>
    <font>
      <sz val="12"/>
      <name val="Toyota Type Light"/>
      <family val="2"/>
    </font>
    <font>
      <sz val="12"/>
      <name val="Toyota Type Light"/>
    </font>
    <font>
      <sz val="12"/>
      <name val="Toyota Type Light"/>
      <family val="2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  <font>
      <sz val="12"/>
      <name val="Toyota Type Light"/>
    </font>
  </fonts>
  <fills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DEDE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"/>
      </patternFill>
    </fill>
    <fill>
      <patternFill patternType="solid">
        <fgColor rgb="FFFF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00"/>
      </patternFill>
    </fill>
    <fill>
      <patternFill patternType="solid">
        <fgColor rgb="FFFF0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00"/>
      </patternFill>
    </fill>
    <fill>
      <patternFill patternType="solid">
        <fgColor rgb="FFFF0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n">
        <color theme="0"/>
      </right>
      <top style="thick">
        <color theme="0"/>
      </top>
      <bottom style="thick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ck">
        <color theme="0"/>
      </bottom>
      <diagonal/>
    </border>
    <border>
      <left style="thin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medium">
        <color rgb="FFFFFFFF"/>
      </right>
      <top style="thick">
        <color theme="0"/>
      </top>
      <bottom style="thick">
        <color theme="0"/>
      </bottom>
      <diagonal/>
    </border>
    <border>
      <left style="medium">
        <color rgb="FFFFFFFF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7" fillId="0" borderId="0"/>
    <xf numFmtId="9" fontId="19" fillId="0" borderId="0" applyFont="0" applyFill="0" applyBorder="0" applyAlignment="0" applyProtection="0"/>
    <xf numFmtId="0" fontId="2" fillId="0" borderId="0"/>
    <xf numFmtId="43" fontId="39" fillId="0" borderId="0" applyFont="0" applyFill="0" applyBorder="0" applyAlignment="0" applyProtection="0"/>
    <xf numFmtId="0" fontId="1" fillId="116" borderId="0"/>
    <xf numFmtId="43" fontId="1" fillId="116" borderId="0" applyFont="0" applyFill="0" applyBorder="0" applyAlignment="0" applyProtection="0"/>
  </cellStyleXfs>
  <cellXfs>
    <xf numFmtId="0" fontId="0" fillId="0" borderId="0" xfId="0"/>
    <xf numFmtId="3" fontId="0" fillId="0" borderId="0" xfId="0" applyNumberFormat="1"/>
    <xf numFmtId="2" fontId="0" fillId="0" borderId="0" xfId="0" applyNumberFormat="1"/>
    <xf numFmtId="3" fontId="0" fillId="0" borderId="0" xfId="0" applyNumberFormat="1" applyAlignment="1">
      <alignment horizontal="left"/>
    </xf>
    <xf numFmtId="10" fontId="0" fillId="0" borderId="0" xfId="0" applyNumberFormat="1"/>
    <xf numFmtId="164" fontId="0" fillId="0" borderId="0" xfId="0" applyNumberFormat="1"/>
    <xf numFmtId="17" fontId="0" fillId="0" borderId="0" xfId="0" applyNumberFormat="1"/>
    <xf numFmtId="16" fontId="0" fillId="0" borderId="0" xfId="0" applyNumberFormat="1"/>
    <xf numFmtId="0" fontId="0" fillId="0" borderId="0" xfId="0" applyAlignment="1">
      <alignment horizontal="left"/>
    </xf>
    <xf numFmtId="0" fontId="0" fillId="0" borderId="1" xfId="0" applyBorder="1"/>
    <xf numFmtId="3" fontId="0" fillId="0" borderId="1" xfId="0" applyNumberFormat="1" applyBorder="1"/>
    <xf numFmtId="2" fontId="0" fillId="0" borderId="1" xfId="0" applyNumberFormat="1" applyBorder="1"/>
    <xf numFmtId="0" fontId="5" fillId="0" borderId="0" xfId="0" applyFont="1"/>
    <xf numFmtId="0" fontId="6" fillId="0" borderId="0" xfId="0" applyFont="1" applyAlignment="1">
      <alignment horizontal="right"/>
    </xf>
    <xf numFmtId="0" fontId="7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9" fillId="0" borderId="0" xfId="0" applyFont="1"/>
    <xf numFmtId="3" fontId="10" fillId="0" borderId="0" xfId="0" applyNumberFormat="1" applyFont="1"/>
    <xf numFmtId="3" fontId="11" fillId="0" borderId="0" xfId="0" applyNumberFormat="1" applyFont="1"/>
    <xf numFmtId="3" fontId="9" fillId="0" borderId="0" xfId="0" applyNumberFormat="1" applyFont="1"/>
    <xf numFmtId="3" fontId="12" fillId="0" borderId="0" xfId="0" applyNumberFormat="1" applyFont="1"/>
    <xf numFmtId="0" fontId="13" fillId="0" borderId="0" xfId="0" applyFont="1"/>
    <xf numFmtId="3" fontId="14" fillId="0" borderId="0" xfId="0" applyNumberFormat="1" applyFont="1"/>
    <xf numFmtId="0" fontId="15" fillId="0" borderId="4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3" fontId="12" fillId="0" borderId="1" xfId="0" applyNumberFormat="1" applyFont="1" applyBorder="1"/>
    <xf numFmtId="0" fontId="16" fillId="0" borderId="1" xfId="0" applyFont="1" applyBorder="1" applyAlignment="1">
      <alignment vertical="center"/>
    </xf>
    <xf numFmtId="0" fontId="0" fillId="0" borderId="5" xfId="0" applyBorder="1"/>
    <xf numFmtId="0" fontId="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3" fontId="18" fillId="0" borderId="0" xfId="0" applyNumberFormat="1" applyFont="1"/>
    <xf numFmtId="3" fontId="18" fillId="0" borderId="0" xfId="0" applyNumberFormat="1" applyFont="1" applyAlignment="1">
      <alignment horizontal="right" vertical="center" wrapText="1"/>
    </xf>
    <xf numFmtId="166" fontId="0" fillId="0" borderId="0" xfId="0" applyNumberFormat="1"/>
    <xf numFmtId="3" fontId="18" fillId="0" borderId="0" xfId="0" applyNumberFormat="1" applyFont="1" applyAlignment="1">
      <alignment vertical="center"/>
    </xf>
    <xf numFmtId="3" fontId="5" fillId="0" borderId="0" xfId="0" applyNumberFormat="1" applyFont="1"/>
    <xf numFmtId="3" fontId="6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22" fillId="0" borderId="0" xfId="0" applyFont="1"/>
    <xf numFmtId="3" fontId="23" fillId="0" borderId="0" xfId="0" applyNumberFormat="1" applyFont="1"/>
    <xf numFmtId="17" fontId="24" fillId="3" borderId="1" xfId="0" applyNumberFormat="1" applyFont="1" applyFill="1" applyBorder="1" applyAlignment="1">
      <alignment horizontal="center" vertical="center" wrapText="1" readingOrder="1"/>
    </xf>
    <xf numFmtId="3" fontId="31" fillId="0" borderId="0" xfId="0" applyNumberFormat="1" applyFont="1"/>
    <xf numFmtId="3" fontId="32" fillId="0" borderId="0" xfId="0" applyNumberFormat="1" applyFont="1"/>
    <xf numFmtId="167" fontId="0" fillId="0" borderId="15" xfId="0" applyNumberFormat="1" applyBorder="1"/>
    <xf numFmtId="3" fontId="25" fillId="0" borderId="13" xfId="0" applyNumberFormat="1" applyFont="1" applyBorder="1"/>
    <xf numFmtId="3" fontId="25" fillId="0" borderId="14" xfId="0" applyNumberFormat="1" applyFont="1" applyBorder="1"/>
    <xf numFmtId="167" fontId="0" fillId="0" borderId="16" xfId="0" applyNumberFormat="1" applyBorder="1"/>
    <xf numFmtId="167" fontId="0" fillId="0" borderId="11" xfId="0" applyNumberFormat="1" applyBorder="1"/>
    <xf numFmtId="0" fontId="0" fillId="0" borderId="16" xfId="0" applyBorder="1"/>
    <xf numFmtId="0" fontId="0" fillId="0" borderId="11" xfId="0" applyBorder="1"/>
    <xf numFmtId="166" fontId="0" fillId="0" borderId="17" xfId="0" applyNumberFormat="1" applyBorder="1"/>
    <xf numFmtId="166" fontId="0" fillId="0" borderId="18" xfId="0" applyNumberFormat="1" applyBorder="1"/>
    <xf numFmtId="0" fontId="0" fillId="0" borderId="16" xfId="0" applyBorder="1" applyAlignment="1">
      <alignment horizontal="left"/>
    </xf>
    <xf numFmtId="14" fontId="0" fillId="0" borderId="16" xfId="0" applyNumberFormat="1" applyBorder="1"/>
    <xf numFmtId="0" fontId="17" fillId="0" borderId="24" xfId="1" applyBorder="1"/>
    <xf numFmtId="0" fontId="0" fillId="0" borderId="10" xfId="0" applyBorder="1"/>
    <xf numFmtId="0" fontId="0" fillId="0" borderId="25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0" xfId="0" applyAlignment="1">
      <alignment horizontal="right"/>
    </xf>
    <xf numFmtId="0" fontId="34" fillId="0" borderId="0" xfId="0" applyFont="1" applyAlignment="1">
      <alignment vertical="top" wrapText="1"/>
    </xf>
    <xf numFmtId="0" fontId="3" fillId="0" borderId="22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169" fontId="0" fillId="0" borderId="0" xfId="4" applyNumberFormat="1" applyFont="1"/>
    <xf numFmtId="169" fontId="0" fillId="0" borderId="0" xfId="4" applyNumberFormat="1" applyFont="1" applyAlignment="1">
      <alignment vertical="center"/>
    </xf>
    <xf numFmtId="0" fontId="41" fillId="0" borderId="0" xfId="0" applyFont="1"/>
    <xf numFmtId="0" fontId="42" fillId="0" borderId="0" xfId="0" applyFont="1" applyAlignment="1">
      <alignment horizontal="center" vertical="center"/>
    </xf>
    <xf numFmtId="10" fontId="43" fillId="0" borderId="0" xfId="0" applyNumberFormat="1" applyFont="1" applyAlignment="1">
      <alignment horizontal="center" vertical="center"/>
    </xf>
    <xf numFmtId="21" fontId="41" fillId="0" borderId="0" xfId="0" applyNumberFormat="1" applyFont="1" applyAlignment="1">
      <alignment horizontal="center" vertical="center"/>
    </xf>
    <xf numFmtId="3" fontId="43" fillId="0" borderId="0" xfId="0" applyNumberFormat="1" applyFont="1" applyAlignment="1">
      <alignment horizontal="center" vertical="center"/>
    </xf>
    <xf numFmtId="169" fontId="41" fillId="0" borderId="0" xfId="4" applyNumberFormat="1" applyFont="1" applyAlignment="1">
      <alignment horizontal="center" vertical="center"/>
    </xf>
    <xf numFmtId="169" fontId="41" fillId="0" borderId="0" xfId="4" applyNumberFormat="1" applyFont="1" applyAlignment="1">
      <alignment vertical="center"/>
    </xf>
    <xf numFmtId="0" fontId="41" fillId="0" borderId="0" xfId="0" applyFont="1" applyAlignment="1">
      <alignment horizontal="center" vertical="center"/>
    </xf>
    <xf numFmtId="10" fontId="41" fillId="0" borderId="0" xfId="0" applyNumberFormat="1" applyFont="1" applyAlignment="1">
      <alignment horizontal="center" vertical="center"/>
    </xf>
    <xf numFmtId="3" fontId="41" fillId="0" borderId="0" xfId="0" applyNumberFormat="1" applyFont="1" applyAlignment="1">
      <alignment horizontal="center" vertical="center"/>
    </xf>
    <xf numFmtId="0" fontId="41" fillId="9" borderId="0" xfId="0" applyFont="1" applyFill="1"/>
    <xf numFmtId="0" fontId="41" fillId="0" borderId="32" xfId="0" applyFont="1" applyBorder="1"/>
    <xf numFmtId="0" fontId="41" fillId="9" borderId="32" xfId="0" applyFont="1" applyFill="1" applyBorder="1"/>
    <xf numFmtId="0" fontId="41" fillId="10" borderId="32" xfId="0" applyFont="1" applyFill="1" applyBorder="1"/>
    <xf numFmtId="0" fontId="41" fillId="9" borderId="32" xfId="0" applyFont="1" applyFill="1" applyBorder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169" fontId="41" fillId="9" borderId="32" xfId="4" applyNumberFormat="1" applyFont="1" applyFill="1" applyBorder="1" applyAlignment="1">
      <alignment horizontal="center" vertical="center"/>
    </xf>
    <xf numFmtId="169" fontId="41" fillId="9" borderId="33" xfId="4" applyNumberFormat="1" applyFont="1" applyFill="1" applyBorder="1" applyAlignment="1">
      <alignment vertical="center"/>
    </xf>
    <xf numFmtId="2" fontId="41" fillId="0" borderId="0" xfId="0" applyNumberFormat="1" applyFont="1"/>
    <xf numFmtId="0" fontId="4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0" borderId="32" xfId="0" applyFill="1" applyBorder="1"/>
    <xf numFmtId="0" fontId="44" fillId="10" borderId="32" xfId="0" applyFont="1" applyFill="1" applyBorder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41" fillId="9" borderId="0" xfId="0" applyFont="1" applyFill="1" applyAlignment="1">
      <alignment horizontal="left" vertical="center"/>
    </xf>
    <xf numFmtId="0" fontId="41" fillId="0" borderId="32" xfId="0" applyFont="1" applyBorder="1" applyAlignment="1">
      <alignment horizontal="left" vertical="center"/>
    </xf>
    <xf numFmtId="0" fontId="41" fillId="9" borderId="32" xfId="0" applyFont="1" applyFill="1" applyBorder="1" applyAlignment="1">
      <alignment horizontal="left" vertical="center"/>
    </xf>
    <xf numFmtId="0" fontId="41" fillId="10" borderId="32" xfId="0" applyFont="1" applyFill="1" applyBorder="1" applyAlignment="1">
      <alignment horizontal="left" vertical="center"/>
    </xf>
    <xf numFmtId="2" fontId="41" fillId="0" borderId="0" xfId="0" applyNumberFormat="1" applyFont="1" applyAlignment="1">
      <alignment horizontal="center" vertical="center"/>
    </xf>
    <xf numFmtId="2" fontId="0" fillId="0" borderId="0" xfId="4" applyNumberFormat="1" applyFont="1"/>
    <xf numFmtId="3" fontId="45" fillId="0" borderId="0" xfId="0" applyNumberFormat="1" applyFont="1"/>
    <xf numFmtId="3" fontId="47" fillId="0" borderId="0" xfId="0" applyNumberFormat="1" applyFont="1"/>
    <xf numFmtId="3" fontId="28" fillId="0" borderId="0" xfId="0" applyNumberFormat="1" applyFont="1"/>
    <xf numFmtId="3" fontId="48" fillId="0" borderId="0" xfId="0" applyNumberFormat="1" applyFont="1"/>
    <xf numFmtId="0" fontId="48" fillId="0" borderId="0" xfId="0" applyFont="1"/>
    <xf numFmtId="0" fontId="0" fillId="0" borderId="1" xfId="0" applyBorder="1" applyAlignment="1">
      <alignment horizontal="center"/>
    </xf>
    <xf numFmtId="0" fontId="35" fillId="4" borderId="1" xfId="0" applyFont="1" applyFill="1" applyBorder="1" applyAlignment="1">
      <alignment horizontal="center" wrapText="1"/>
    </xf>
    <xf numFmtId="0" fontId="36" fillId="4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0" fillId="0" borderId="1" xfId="0" applyFont="1" applyBorder="1" applyAlignment="1">
      <alignment horizontal="center"/>
    </xf>
    <xf numFmtId="0" fontId="50" fillId="0" borderId="0" xfId="0" applyFont="1" applyAlignment="1">
      <alignment horizontal="center"/>
    </xf>
    <xf numFmtId="0" fontId="46" fillId="0" borderId="0" xfId="0" applyFont="1"/>
    <xf numFmtId="3" fontId="51" fillId="0" borderId="0" xfId="0" applyNumberFormat="1" applyFont="1"/>
    <xf numFmtId="2" fontId="46" fillId="0" borderId="0" xfId="0" applyNumberFormat="1" applyFont="1"/>
    <xf numFmtId="3" fontId="51" fillId="0" borderId="0" xfId="0" applyNumberFormat="1" applyFont="1" applyAlignment="1">
      <alignment vertical="center"/>
    </xf>
    <xf numFmtId="0" fontId="52" fillId="3" borderId="3" xfId="0" applyFont="1" applyFill="1" applyBorder="1" applyAlignment="1">
      <alignment horizontal="center" vertical="center" wrapText="1" readingOrder="1"/>
    </xf>
    <xf numFmtId="0" fontId="52" fillId="3" borderId="12" xfId="0" applyFont="1" applyFill="1" applyBorder="1" applyAlignment="1">
      <alignment horizontal="center" vertical="center" wrapText="1" readingOrder="1"/>
    </xf>
    <xf numFmtId="0" fontId="26" fillId="3" borderId="12" xfId="0" applyFont="1" applyFill="1" applyBorder="1" applyAlignment="1">
      <alignment horizontal="center" vertical="center" wrapText="1" readingOrder="1"/>
    </xf>
    <xf numFmtId="0" fontId="26" fillId="0" borderId="12" xfId="0" applyFont="1" applyBorder="1" applyAlignment="1">
      <alignment horizontal="center" vertical="center" wrapText="1" readingOrder="1"/>
    </xf>
    <xf numFmtId="3" fontId="53" fillId="0" borderId="12" xfId="0" applyNumberFormat="1" applyFont="1" applyBorder="1" applyAlignment="1">
      <alignment horizontal="center" wrapText="1" readingOrder="1"/>
    </xf>
    <xf numFmtId="0" fontId="54" fillId="0" borderId="3" xfId="0" applyFont="1" applyBorder="1" applyAlignment="1">
      <alignment horizontal="center" vertical="center" wrapText="1" readingOrder="1"/>
    </xf>
    <xf numFmtId="10" fontId="37" fillId="0" borderId="3" xfId="0" applyNumberFormat="1" applyFont="1" applyBorder="1" applyAlignment="1">
      <alignment horizontal="center" vertical="center" wrapText="1" readingOrder="1"/>
    </xf>
    <xf numFmtId="10" fontId="53" fillId="0" borderId="3" xfId="0" applyNumberFormat="1" applyFont="1" applyBorder="1" applyAlignment="1">
      <alignment horizontal="center" vertical="center" wrapText="1" readingOrder="1"/>
    </xf>
    <xf numFmtId="167" fontId="20" fillId="0" borderId="0" xfId="0" applyNumberFormat="1" applyFont="1" applyAlignment="1">
      <alignment horizontal="right"/>
    </xf>
    <xf numFmtId="167" fontId="21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3" fontId="5" fillId="0" borderId="0" xfId="0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6" fontId="0" fillId="0" borderId="0" xfId="0" applyNumberFormat="1" applyAlignment="1">
      <alignment horizontal="right"/>
    </xf>
    <xf numFmtId="3" fontId="33" fillId="0" borderId="0" xfId="0" applyNumberFormat="1" applyFont="1" applyAlignment="1">
      <alignment horizontal="right"/>
    </xf>
    <xf numFmtId="3" fontId="29" fillId="0" borderId="0" xfId="0" applyNumberFormat="1" applyFont="1" applyAlignment="1">
      <alignment horizontal="right"/>
    </xf>
    <xf numFmtId="3" fontId="38" fillId="0" borderId="0" xfId="0" applyNumberFormat="1" applyFont="1"/>
    <xf numFmtId="3" fontId="49" fillId="0" borderId="0" xfId="0" applyNumberFormat="1" applyFont="1"/>
    <xf numFmtId="16" fontId="5" fillId="0" borderId="0" xfId="0" applyNumberFormat="1" applyFont="1" applyAlignment="1">
      <alignment vertical="center"/>
    </xf>
    <xf numFmtId="16" fontId="0" fillId="0" borderId="0" xfId="0" applyNumberForma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16" fontId="0" fillId="4" borderId="1" xfId="0" applyNumberFormat="1" applyFill="1" applyBorder="1" applyAlignment="1">
      <alignment horizontal="center"/>
    </xf>
    <xf numFmtId="3" fontId="0" fillId="4" borderId="1" xfId="0" applyNumberFormat="1" applyFill="1" applyBorder="1" applyAlignment="1">
      <alignment horizontal="center"/>
    </xf>
    <xf numFmtId="16" fontId="0" fillId="0" borderId="1" xfId="0" applyNumberFormat="1" applyBorder="1"/>
    <xf numFmtId="3" fontId="0" fillId="0" borderId="1" xfId="0" applyNumberFormat="1" applyBorder="1" applyAlignment="1">
      <alignment horizontal="right"/>
    </xf>
    <xf numFmtId="3" fontId="47" fillId="0" borderId="1" xfId="0" applyNumberFormat="1" applyFont="1" applyBorder="1"/>
    <xf numFmtId="3" fontId="48" fillId="0" borderId="1" xfId="0" applyNumberFormat="1" applyFont="1" applyBorder="1"/>
    <xf numFmtId="3" fontId="49" fillId="0" borderId="1" xfId="0" applyNumberFormat="1" applyFont="1" applyBorder="1"/>
    <xf numFmtId="3" fontId="0" fillId="0" borderId="1" xfId="0" applyNumberFormat="1" applyBorder="1" applyAlignment="1">
      <alignment horizontal="center" vertical="center"/>
    </xf>
    <xf numFmtId="3" fontId="47" fillId="0" borderId="1" xfId="0" applyNumberFormat="1" applyFont="1" applyBorder="1" applyAlignment="1">
      <alignment horizontal="center" vertical="center"/>
    </xf>
    <xf numFmtId="3" fontId="48" fillId="0" borderId="1" xfId="0" applyNumberFormat="1" applyFont="1" applyBorder="1" applyAlignment="1">
      <alignment horizontal="center" vertical="center"/>
    </xf>
    <xf numFmtId="3" fontId="49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56" fillId="0" borderId="0" xfId="0" applyFont="1"/>
    <xf numFmtId="0" fontId="56" fillId="4" borderId="1" xfId="0" applyFont="1" applyFill="1" applyBorder="1" applyAlignment="1">
      <alignment horizontal="center" vertical="center"/>
    </xf>
    <xf numFmtId="2" fontId="56" fillId="0" borderId="0" xfId="0" applyNumberFormat="1" applyFont="1"/>
    <xf numFmtId="17" fontId="56" fillId="0" borderId="1" xfId="0" applyNumberFormat="1" applyFont="1" applyBorder="1"/>
    <xf numFmtId="3" fontId="56" fillId="0" borderId="1" xfId="0" applyNumberFormat="1" applyFont="1" applyBorder="1"/>
    <xf numFmtId="0" fontId="56" fillId="0" borderId="1" xfId="0" applyFont="1" applyBorder="1"/>
    <xf numFmtId="0" fontId="56" fillId="0" borderId="1" xfId="0" applyFont="1" applyBorder="1" applyAlignment="1">
      <alignment horizontal="center" vertical="center"/>
    </xf>
    <xf numFmtId="2" fontId="56" fillId="0" borderId="1" xfId="0" applyNumberFormat="1" applyFont="1" applyBorder="1" applyAlignment="1">
      <alignment horizontal="center" vertical="center"/>
    </xf>
    <xf numFmtId="2" fontId="56" fillId="0" borderId="1" xfId="0" applyNumberFormat="1" applyFont="1" applyBorder="1"/>
    <xf numFmtId="167" fontId="56" fillId="0" borderId="1" xfId="0" applyNumberFormat="1" applyFont="1" applyBorder="1"/>
    <xf numFmtId="165" fontId="56" fillId="0" borderId="0" xfId="0" applyNumberFormat="1" applyFont="1"/>
    <xf numFmtId="167" fontId="56" fillId="0" borderId="0" xfId="0" applyNumberFormat="1" applyFont="1"/>
    <xf numFmtId="17" fontId="56" fillId="0" borderId="0" xfId="0" applyNumberFormat="1" applyFont="1"/>
    <xf numFmtId="3" fontId="56" fillId="0" borderId="0" xfId="0" applyNumberFormat="1" applyFont="1"/>
    <xf numFmtId="0" fontId="56" fillId="0" borderId="0" xfId="0" applyFont="1" applyAlignment="1">
      <alignment horizontal="left" vertical="center" readingOrder="1"/>
    </xf>
    <xf numFmtId="0" fontId="56" fillId="0" borderId="0" xfId="0" applyFont="1" applyAlignment="1">
      <alignment vertical="center"/>
    </xf>
    <xf numFmtId="0" fontId="56" fillId="0" borderId="1" xfId="0" applyFont="1" applyBorder="1" applyAlignment="1">
      <alignment horizontal="left" vertical="center"/>
    </xf>
    <xf numFmtId="0" fontId="55" fillId="0" borderId="1" xfId="0" applyFont="1" applyBorder="1" applyAlignment="1">
      <alignment horizontal="left" vertical="center" readingOrder="1"/>
    </xf>
    <xf numFmtId="0" fontId="56" fillId="0" borderId="6" xfId="0" applyFont="1" applyBorder="1" applyAlignment="1">
      <alignment horizontal="left" vertical="center" readingOrder="1"/>
    </xf>
    <xf numFmtId="0" fontId="56" fillId="0" borderId="34" xfId="0" applyFont="1" applyBorder="1" applyAlignment="1">
      <alignment horizontal="left" vertical="center"/>
    </xf>
    <xf numFmtId="0" fontId="56" fillId="0" borderId="34" xfId="0" applyFont="1" applyBorder="1" applyAlignment="1">
      <alignment horizontal="left" vertical="center" readingOrder="1"/>
    </xf>
    <xf numFmtId="0" fontId="56" fillId="0" borderId="6" xfId="0" applyFont="1" applyBorder="1" applyAlignment="1">
      <alignment horizontal="left"/>
    </xf>
    <xf numFmtId="0" fontId="56" fillId="0" borderId="9" xfId="0" applyFont="1" applyBorder="1" applyAlignment="1">
      <alignment horizontal="left"/>
    </xf>
    <xf numFmtId="0" fontId="56" fillId="0" borderId="37" xfId="0" applyFont="1" applyBorder="1" applyAlignment="1">
      <alignment horizontal="left"/>
    </xf>
    <xf numFmtId="0" fontId="56" fillId="0" borderId="38" xfId="0" applyFont="1" applyBorder="1" applyAlignment="1">
      <alignment horizontal="left"/>
    </xf>
    <xf numFmtId="0" fontId="58" fillId="0" borderId="7" xfId="0" applyFont="1" applyBorder="1" applyAlignment="1">
      <alignment horizontal="left"/>
    </xf>
    <xf numFmtId="17" fontId="56" fillId="0" borderId="7" xfId="0" applyNumberFormat="1" applyFont="1" applyBorder="1" applyAlignment="1">
      <alignment horizontal="center" vertical="center"/>
    </xf>
    <xf numFmtId="17" fontId="56" fillId="0" borderId="8" xfId="0" applyNumberFormat="1" applyFont="1" applyBorder="1" applyAlignment="1">
      <alignment horizontal="center" vertical="center"/>
    </xf>
    <xf numFmtId="17" fontId="56" fillId="0" borderId="9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47" fontId="0" fillId="0" borderId="0" xfId="0" applyNumberFormat="1"/>
    <xf numFmtId="37" fontId="3" fillId="4" borderId="1" xfId="0" applyNumberFormat="1" applyFont="1" applyFill="1" applyBorder="1" applyAlignment="1">
      <alignment horizontal="center" vertical="center"/>
    </xf>
    <xf numFmtId="37" fontId="0" fillId="0" borderId="1" xfId="0" applyNumberFormat="1" applyBorder="1" applyAlignment="1">
      <alignment horizontal="center" vertical="center"/>
    </xf>
    <xf numFmtId="37" fontId="5" fillId="0" borderId="1" xfId="0" applyNumberFormat="1" applyFont="1" applyBorder="1" applyAlignment="1">
      <alignment horizontal="left" vertical="center"/>
    </xf>
    <xf numFmtId="37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37" fontId="0" fillId="0" borderId="0" xfId="0" applyNumberFormat="1" applyAlignment="1">
      <alignment horizontal="center" vertical="center"/>
    </xf>
    <xf numFmtId="44" fontId="0" fillId="0" borderId="0" xfId="0" applyNumberFormat="1"/>
    <xf numFmtId="37" fontId="0" fillId="4" borderId="1" xfId="0" applyNumberFormat="1" applyFill="1" applyBorder="1"/>
    <xf numFmtId="37" fontId="0" fillId="0" borderId="0" xfId="0" applyNumberFormat="1"/>
    <xf numFmtId="37" fontId="0" fillId="0" borderId="1" xfId="0" applyNumberFormat="1" applyBorder="1"/>
    <xf numFmtId="10" fontId="30" fillId="0" borderId="0" xfId="1" applyNumberFormat="1" applyFont="1"/>
    <xf numFmtId="168" fontId="30" fillId="0" borderId="0" xfId="0" applyNumberFormat="1" applyFont="1" applyAlignment="1">
      <alignment horizontal="right"/>
    </xf>
    <xf numFmtId="0" fontId="30" fillId="0" borderId="0" xfId="0" applyFont="1" applyAlignment="1">
      <alignment horizontal="right"/>
    </xf>
    <xf numFmtId="3" fontId="26" fillId="0" borderId="0" xfId="0" applyNumberFormat="1" applyFont="1" applyAlignment="1">
      <alignment horizontal="center" wrapText="1" readingOrder="1"/>
    </xf>
    <xf numFmtId="10" fontId="37" fillId="0" borderId="0" xfId="0" applyNumberFormat="1" applyFont="1" applyAlignment="1">
      <alignment horizontal="center" wrapText="1" readingOrder="1"/>
    </xf>
    <xf numFmtId="3" fontId="61" fillId="0" borderId="0" xfId="0" applyNumberFormat="1" applyFont="1"/>
    <xf numFmtId="0" fontId="3" fillId="4" borderId="1" xfId="0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vertical="center"/>
    </xf>
    <xf numFmtId="2" fontId="0" fillId="0" borderId="1" xfId="0" applyNumberFormat="1" applyBorder="1" applyAlignment="1">
      <alignment vertical="center"/>
    </xf>
    <xf numFmtId="37" fontId="5" fillId="0" borderId="1" xfId="0" applyNumberFormat="1" applyFont="1" applyBorder="1" applyAlignment="1">
      <alignment horizontal="center" vertical="center"/>
    </xf>
    <xf numFmtId="37" fontId="60" fillId="0" borderId="0" xfId="0" applyNumberFormat="1" applyFont="1"/>
    <xf numFmtId="37" fontId="29" fillId="0" borderId="0" xfId="0" applyNumberFormat="1" applyFont="1"/>
    <xf numFmtId="37" fontId="51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48" fillId="0" borderId="0" xfId="0" applyNumberFormat="1" applyFont="1"/>
    <xf numFmtId="0" fontId="62" fillId="0" borderId="1" xfId="0" applyFont="1" applyBorder="1" applyAlignment="1">
      <alignment horizontal="center" vertical="center" wrapText="1" readingOrder="1"/>
    </xf>
    <xf numFmtId="0" fontId="37" fillId="0" borderId="1" xfId="0" applyFont="1" applyBorder="1" applyAlignment="1">
      <alignment horizontal="left" wrapText="1" readingOrder="1"/>
    </xf>
    <xf numFmtId="10" fontId="37" fillId="0" borderId="1" xfId="0" applyNumberFormat="1" applyFont="1" applyBorder="1" applyAlignment="1">
      <alignment horizontal="center" wrapText="1" readingOrder="1"/>
    </xf>
    <xf numFmtId="0" fontId="59" fillId="0" borderId="0" xfId="0" applyFont="1"/>
    <xf numFmtId="0" fontId="37" fillId="0" borderId="0" xfId="0" applyFont="1" applyAlignment="1">
      <alignment horizontal="center" wrapText="1" readingOrder="1"/>
    </xf>
    <xf numFmtId="2" fontId="59" fillId="0" borderId="0" xfId="0" applyNumberFormat="1" applyFont="1"/>
    <xf numFmtId="0" fontId="59" fillId="0" borderId="1" xfId="0" applyFont="1" applyBorder="1"/>
    <xf numFmtId="3" fontId="37" fillId="0" borderId="0" xfId="0" applyNumberFormat="1" applyFont="1" applyAlignment="1">
      <alignment horizontal="center" wrapText="1" readingOrder="1"/>
    </xf>
    <xf numFmtId="0" fontId="59" fillId="0" borderId="1" xfId="0" applyFont="1" applyBorder="1" applyAlignment="1">
      <alignment horizontal="center" vertical="center"/>
    </xf>
    <xf numFmtId="3" fontId="37" fillId="0" borderId="1" xfId="0" applyNumberFormat="1" applyFont="1" applyBorder="1" applyAlignment="1">
      <alignment horizontal="center" vertical="center" wrapText="1" readingOrder="1"/>
    </xf>
    <xf numFmtId="3" fontId="59" fillId="0" borderId="1" xfId="0" applyNumberFormat="1" applyFont="1" applyBorder="1" applyAlignment="1">
      <alignment horizontal="center" vertical="center"/>
    </xf>
    <xf numFmtId="0" fontId="63" fillId="0" borderId="1" xfId="0" applyFont="1" applyBorder="1" applyAlignment="1">
      <alignment vertical="center"/>
    </xf>
    <xf numFmtId="37" fontId="63" fillId="0" borderId="1" xfId="0" applyNumberFormat="1" applyFont="1" applyBorder="1" applyAlignment="1">
      <alignment horizontal="center" vertical="center"/>
    </xf>
    <xf numFmtId="10" fontId="63" fillId="0" borderId="1" xfId="0" applyNumberFormat="1" applyFont="1" applyBorder="1" applyAlignment="1">
      <alignment horizontal="center" vertical="center"/>
    </xf>
    <xf numFmtId="0" fontId="59" fillId="0" borderId="1" xfId="0" applyFont="1" applyBorder="1" applyAlignment="1">
      <alignment vertical="center"/>
    </xf>
    <xf numFmtId="37" fontId="59" fillId="0" borderId="1" xfId="0" applyNumberFormat="1" applyFont="1" applyBorder="1" applyAlignment="1">
      <alignment horizontal="center" vertical="center"/>
    </xf>
    <xf numFmtId="0" fontId="63" fillId="0" borderId="1" xfId="0" applyFont="1" applyBorder="1" applyAlignment="1">
      <alignment horizontal="center"/>
    </xf>
    <xf numFmtId="2" fontId="63" fillId="0" borderId="1" xfId="0" applyNumberFormat="1" applyFont="1" applyBorder="1" applyAlignment="1">
      <alignment horizontal="center"/>
    </xf>
    <xf numFmtId="0" fontId="63" fillId="0" borderId="1" xfId="0" applyFont="1" applyBorder="1"/>
    <xf numFmtId="3" fontId="63" fillId="0" borderId="1" xfId="0" applyNumberFormat="1" applyFont="1" applyBorder="1" applyAlignment="1">
      <alignment horizontal="center"/>
    </xf>
    <xf numFmtId="0" fontId="63" fillId="0" borderId="1" xfId="0" applyFont="1" applyBorder="1" applyAlignment="1">
      <alignment horizontal="center" vertical="center"/>
    </xf>
    <xf numFmtId="3" fontId="63" fillId="0" borderId="1" xfId="0" applyNumberFormat="1" applyFont="1" applyBorder="1" applyAlignment="1">
      <alignment horizontal="center" vertical="center"/>
    </xf>
    <xf numFmtId="3" fontId="53" fillId="0" borderId="1" xfId="0" applyNumberFormat="1" applyFont="1" applyBorder="1" applyAlignment="1">
      <alignment horizontal="center" vertical="center"/>
    </xf>
    <xf numFmtId="2" fontId="63" fillId="0" borderId="1" xfId="0" applyNumberFormat="1" applyFont="1" applyBorder="1" applyAlignment="1">
      <alignment horizontal="center" vertical="center"/>
    </xf>
    <xf numFmtId="10" fontId="0" fillId="0" borderId="1" xfId="0" applyNumberFormat="1" applyBorder="1"/>
    <xf numFmtId="0" fontId="5" fillId="4" borderId="1" xfId="0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37" fontId="0" fillId="6" borderId="0" xfId="0" applyNumberFormat="1" applyFill="1"/>
    <xf numFmtId="0" fontId="64" fillId="6" borderId="0" xfId="0" applyFont="1" applyFill="1" applyAlignment="1">
      <alignment horizontal="right" vertical="center"/>
    </xf>
    <xf numFmtId="0" fontId="3" fillId="4" borderId="1" xfId="0" applyFont="1" applyFill="1" applyBorder="1"/>
    <xf numFmtId="37" fontId="48" fillId="0" borderId="0" xfId="0" applyNumberFormat="1" applyFont="1" applyAlignment="1">
      <alignment horizontal="center" vertical="center"/>
    </xf>
    <xf numFmtId="37" fontId="0" fillId="6" borderId="1" xfId="0" applyNumberForma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63" fillId="4" borderId="24" xfId="0" applyFont="1" applyFill="1" applyBorder="1" applyAlignment="1">
      <alignment horizontal="center"/>
    </xf>
    <xf numFmtId="0" fontId="63" fillId="4" borderId="26" xfId="0" applyFont="1" applyFill="1" applyBorder="1" applyAlignment="1">
      <alignment horizontal="center"/>
    </xf>
    <xf numFmtId="10" fontId="63" fillId="4" borderId="10" xfId="0" applyNumberFormat="1" applyFont="1" applyFill="1" applyBorder="1" applyAlignment="1">
      <alignment horizontal="center"/>
    </xf>
    <xf numFmtId="0" fontId="63" fillId="0" borderId="16" xfId="0" applyFont="1" applyBorder="1"/>
    <xf numFmtId="0" fontId="63" fillId="0" borderId="0" xfId="0" applyFont="1"/>
    <xf numFmtId="0" fontId="63" fillId="6" borderId="15" xfId="0" applyFont="1" applyFill="1" applyBorder="1"/>
    <xf numFmtId="0" fontId="63" fillId="6" borderId="29" xfId="0" applyFont="1" applyFill="1" applyBorder="1"/>
    <xf numFmtId="10" fontId="63" fillId="6" borderId="29" xfId="2" applyNumberFormat="1" applyFont="1" applyFill="1" applyBorder="1" applyAlignment="1">
      <alignment horizontal="center" vertical="center"/>
    </xf>
    <xf numFmtId="164" fontId="63" fillId="6" borderId="29" xfId="0" applyNumberFormat="1" applyFont="1" applyFill="1" applyBorder="1" applyAlignment="1">
      <alignment horizontal="center" vertical="center"/>
    </xf>
    <xf numFmtId="0" fontId="63" fillId="0" borderId="0" xfId="0" applyFont="1" applyAlignment="1">
      <alignment horizontal="right"/>
    </xf>
    <xf numFmtId="10" fontId="63" fillId="0" borderId="0" xfId="0" applyNumberFormat="1" applyFont="1"/>
    <xf numFmtId="9" fontId="63" fillId="0" borderId="0" xfId="0" applyNumberFormat="1" applyFont="1"/>
    <xf numFmtId="0" fontId="63" fillId="0" borderId="0" xfId="0" applyFont="1" applyAlignment="1">
      <alignment vertical="center" wrapText="1"/>
    </xf>
    <xf numFmtId="0" fontId="63" fillId="0" borderId="0" xfId="0" applyFont="1" applyAlignment="1">
      <alignment vertical="top" wrapText="1"/>
    </xf>
    <xf numFmtId="3" fontId="37" fillId="0" borderId="0" xfId="0" applyNumberFormat="1" applyFont="1" applyAlignment="1">
      <alignment horizontal="center" vertical="top" wrapText="1" readingOrder="1"/>
    </xf>
    <xf numFmtId="0" fontId="37" fillId="0" borderId="3" xfId="0" applyFont="1" applyBorder="1" applyAlignment="1">
      <alignment horizontal="left" wrapText="1" readingOrder="1"/>
    </xf>
    <xf numFmtId="3" fontId="37" fillId="0" borderId="3" xfId="0" applyNumberFormat="1" applyFont="1" applyBorder="1" applyAlignment="1">
      <alignment horizontal="center" vertical="top" wrapText="1" readingOrder="1"/>
    </xf>
    <xf numFmtId="3" fontId="37" fillId="0" borderId="12" xfId="0" applyNumberFormat="1" applyFont="1" applyBorder="1" applyAlignment="1">
      <alignment horizontal="center" wrapText="1" readingOrder="1"/>
    </xf>
    <xf numFmtId="3" fontId="63" fillId="0" borderId="0" xfId="0" applyNumberFormat="1" applyFont="1"/>
    <xf numFmtId="10" fontId="63" fillId="0" borderId="0" xfId="0" applyNumberFormat="1" applyFont="1" applyAlignment="1">
      <alignment horizontal="right"/>
    </xf>
    <xf numFmtId="21" fontId="63" fillId="0" borderId="0" xfId="0" applyNumberFormat="1" applyFont="1"/>
    <xf numFmtId="0" fontId="63" fillId="4" borderId="1" xfId="0" applyFont="1" applyFill="1" applyBorder="1" applyAlignment="1">
      <alignment horizontal="center"/>
    </xf>
    <xf numFmtId="0" fontId="63" fillId="6" borderId="1" xfId="0" applyFont="1" applyFill="1" applyBorder="1"/>
    <xf numFmtId="10" fontId="63" fillId="6" borderId="1" xfId="2" applyNumberFormat="1" applyFont="1" applyFill="1" applyBorder="1" applyAlignment="1">
      <alignment horizontal="center" vertical="center"/>
    </xf>
    <xf numFmtId="10" fontId="63" fillId="6" borderId="1" xfId="0" applyNumberFormat="1" applyFont="1" applyFill="1" applyBorder="1" applyAlignment="1">
      <alignment horizontal="center" vertical="center"/>
    </xf>
    <xf numFmtId="37" fontId="63" fillId="0" borderId="0" xfId="0" applyNumberFormat="1" applyFont="1" applyAlignment="1">
      <alignment horizontal="center" vertical="center"/>
    </xf>
    <xf numFmtId="10" fontId="53" fillId="0" borderId="0" xfId="0" applyNumberFormat="1" applyFont="1" applyAlignment="1">
      <alignment horizontal="center" vertical="center"/>
    </xf>
    <xf numFmtId="10" fontId="63" fillId="0" borderId="11" xfId="0" applyNumberFormat="1" applyFont="1" applyBorder="1" applyAlignment="1">
      <alignment horizontal="center" vertical="center"/>
    </xf>
    <xf numFmtId="37" fontId="63" fillId="6" borderId="1" xfId="0" applyNumberFormat="1" applyFont="1" applyFill="1" applyBorder="1" applyAlignment="1">
      <alignment horizontal="center" vertical="center"/>
    </xf>
    <xf numFmtId="37" fontId="53" fillId="6" borderId="1" xfId="0" applyNumberFormat="1" applyFont="1" applyFill="1" applyBorder="1" applyAlignment="1">
      <alignment horizontal="center" vertical="center"/>
    </xf>
    <xf numFmtId="37" fontId="53" fillId="6" borderId="0" xfId="0" applyNumberFormat="1" applyFont="1" applyFill="1" applyAlignment="1">
      <alignment horizontal="center" vertical="center"/>
    </xf>
    <xf numFmtId="10" fontId="63" fillId="6" borderId="11" xfId="0" applyNumberFormat="1" applyFont="1" applyFill="1" applyBorder="1" applyAlignment="1">
      <alignment horizontal="center" vertical="center"/>
    </xf>
    <xf numFmtId="0" fontId="66" fillId="4" borderId="1" xfId="0" applyFont="1" applyFill="1" applyBorder="1" applyAlignment="1">
      <alignment horizontal="center" vertical="center"/>
    </xf>
    <xf numFmtId="0" fontId="37" fillId="0" borderId="1" xfId="0" applyFont="1" applyBorder="1" applyAlignment="1">
      <alignment horizontal="left" vertical="center" wrapText="1" readingOrder="1"/>
    </xf>
    <xf numFmtId="2" fontId="37" fillId="0" borderId="1" xfId="0" applyNumberFormat="1" applyFont="1" applyBorder="1" applyAlignment="1">
      <alignment horizontal="center" vertical="center" wrapText="1" readingOrder="1"/>
    </xf>
    <xf numFmtId="37" fontId="66" fillId="4" borderId="1" xfId="0" applyNumberFormat="1" applyFont="1" applyFill="1" applyBorder="1" applyAlignment="1">
      <alignment horizontal="center" vertical="center"/>
    </xf>
    <xf numFmtId="37" fontId="37" fillId="0" borderId="1" xfId="0" applyNumberFormat="1" applyFont="1" applyBorder="1" applyAlignment="1">
      <alignment horizontal="center" vertical="center" wrapText="1" readingOrder="1"/>
    </xf>
    <xf numFmtId="2" fontId="63" fillId="0" borderId="0" xfId="0" applyNumberFormat="1" applyFont="1"/>
    <xf numFmtId="2" fontId="67" fillId="12" borderId="0" xfId="0" applyNumberFormat="1" applyFont="1" applyFill="1" applyAlignment="1">
      <alignment vertical="center"/>
    </xf>
    <xf numFmtId="2" fontId="67" fillId="0" borderId="0" xfId="0" applyNumberFormat="1" applyFont="1" applyAlignment="1">
      <alignment vertical="center"/>
    </xf>
    <xf numFmtId="37" fontId="37" fillId="0" borderId="0" xfId="0" applyNumberFormat="1" applyFont="1" applyAlignment="1">
      <alignment horizontal="left" wrapText="1" readingOrder="1"/>
    </xf>
    <xf numFmtId="37" fontId="37" fillId="0" borderId="0" xfId="0" applyNumberFormat="1" applyFont="1" applyAlignment="1">
      <alignment horizontal="center" wrapText="1" readingOrder="1"/>
    </xf>
    <xf numFmtId="37" fontId="63" fillId="0" borderId="0" xfId="0" applyNumberFormat="1" applyFont="1"/>
    <xf numFmtId="37" fontId="63" fillId="0" borderId="1" xfId="0" applyNumberFormat="1" applyFont="1" applyBorder="1"/>
    <xf numFmtId="2" fontId="37" fillId="0" borderId="0" xfId="0" applyNumberFormat="1" applyFont="1" applyAlignment="1">
      <alignment horizontal="center" vertical="center" wrapText="1" readingOrder="1"/>
    </xf>
    <xf numFmtId="0" fontId="69" fillId="14" borderId="40" xfId="0" applyFont="1" applyFill="1" applyBorder="1" applyAlignment="1">
      <alignment horizontal="center" wrapText="1" readingOrder="1"/>
    </xf>
    <xf numFmtId="0" fontId="42" fillId="14" borderId="40" xfId="0" applyFont="1" applyFill="1" applyBorder="1" applyAlignment="1">
      <alignment horizontal="center" vertical="center" wrapText="1" readingOrder="1"/>
    </xf>
    <xf numFmtId="10" fontId="43" fillId="14" borderId="40" xfId="0" applyNumberFormat="1" applyFont="1" applyFill="1" applyBorder="1" applyAlignment="1">
      <alignment horizontal="center" vertical="center" wrapText="1" readingOrder="1"/>
    </xf>
    <xf numFmtId="21" fontId="42" fillId="14" borderId="40" xfId="0" applyNumberFormat="1" applyFont="1" applyFill="1" applyBorder="1" applyAlignment="1">
      <alignment horizontal="center" vertical="center" wrapText="1" readingOrder="1"/>
    </xf>
    <xf numFmtId="3" fontId="43" fillId="14" borderId="40" xfId="0" applyNumberFormat="1" applyFont="1" applyFill="1" applyBorder="1" applyAlignment="1">
      <alignment horizontal="center" vertical="center" wrapText="1" readingOrder="1"/>
    </xf>
    <xf numFmtId="3" fontId="42" fillId="14" borderId="40" xfId="0" applyNumberFormat="1" applyFont="1" applyFill="1" applyBorder="1" applyAlignment="1">
      <alignment horizontal="center" vertical="center" wrapText="1" readingOrder="1"/>
    </xf>
    <xf numFmtId="0" fontId="69" fillId="15" borderId="41" xfId="0" applyFont="1" applyFill="1" applyBorder="1" applyAlignment="1">
      <alignment horizontal="center" wrapText="1" readingOrder="1"/>
    </xf>
    <xf numFmtId="0" fontId="42" fillId="15" borderId="41" xfId="0" applyFont="1" applyFill="1" applyBorder="1" applyAlignment="1">
      <alignment horizontal="center" vertical="center" wrapText="1" readingOrder="1"/>
    </xf>
    <xf numFmtId="10" fontId="43" fillId="15" borderId="41" xfId="0" applyNumberFormat="1" applyFont="1" applyFill="1" applyBorder="1" applyAlignment="1">
      <alignment horizontal="center" vertical="center" wrapText="1" readingOrder="1"/>
    </xf>
    <xf numFmtId="21" fontId="42" fillId="15" borderId="41" xfId="0" applyNumberFormat="1" applyFont="1" applyFill="1" applyBorder="1" applyAlignment="1">
      <alignment horizontal="center" vertical="center" wrapText="1" readingOrder="1"/>
    </xf>
    <xf numFmtId="3" fontId="42" fillId="15" borderId="41" xfId="0" applyNumberFormat="1" applyFont="1" applyFill="1" applyBorder="1" applyAlignment="1">
      <alignment horizontal="center" vertical="center" wrapText="1" readingOrder="1"/>
    </xf>
    <xf numFmtId="0" fontId="69" fillId="14" borderId="41" xfId="0" applyFont="1" applyFill="1" applyBorder="1" applyAlignment="1">
      <alignment horizontal="center" wrapText="1" readingOrder="1"/>
    </xf>
    <xf numFmtId="0" fontId="42" fillId="14" borderId="41" xfId="0" applyFont="1" applyFill="1" applyBorder="1" applyAlignment="1">
      <alignment horizontal="center" vertical="center" wrapText="1" readingOrder="1"/>
    </xf>
    <xf numFmtId="10" fontId="42" fillId="14" borderId="41" xfId="0" applyNumberFormat="1" applyFont="1" applyFill="1" applyBorder="1" applyAlignment="1">
      <alignment horizontal="center" vertical="center" wrapText="1" readingOrder="1"/>
    </xf>
    <xf numFmtId="21" fontId="42" fillId="14" borderId="41" xfId="0" applyNumberFormat="1" applyFont="1" applyFill="1" applyBorder="1" applyAlignment="1">
      <alignment horizontal="center" vertical="center" wrapText="1" readingOrder="1"/>
    </xf>
    <xf numFmtId="3" fontId="42" fillId="14" borderId="41" xfId="0" applyNumberFormat="1" applyFont="1" applyFill="1" applyBorder="1" applyAlignment="1">
      <alignment horizontal="center" vertical="center" wrapText="1" readingOrder="1"/>
    </xf>
    <xf numFmtId="0" fontId="42" fillId="15" borderId="41" xfId="0" applyFont="1" applyFill="1" applyBorder="1" applyAlignment="1">
      <alignment horizontal="left" vertical="center" wrapText="1" readingOrder="1"/>
    </xf>
    <xf numFmtId="10" fontId="43" fillId="14" borderId="41" xfId="0" applyNumberFormat="1" applyFont="1" applyFill="1" applyBorder="1" applyAlignment="1">
      <alignment horizontal="center" vertical="center" wrapText="1" readingOrder="1"/>
    </xf>
    <xf numFmtId="0" fontId="42" fillId="14" borderId="41" xfId="0" applyFont="1" applyFill="1" applyBorder="1" applyAlignment="1">
      <alignment horizontal="left" vertical="center" wrapText="1" readingOrder="1"/>
    </xf>
    <xf numFmtId="0" fontId="68" fillId="13" borderId="39" xfId="0" applyFont="1" applyFill="1" applyBorder="1" applyAlignment="1">
      <alignment horizontal="center" vertical="center" wrapText="1" readingOrder="1"/>
    </xf>
    <xf numFmtId="0" fontId="42" fillId="14" borderId="40" xfId="0" applyFont="1" applyFill="1" applyBorder="1" applyAlignment="1">
      <alignment horizontal="left" vertical="center" wrapText="1" readingOrder="1"/>
    </xf>
    <xf numFmtId="22" fontId="42" fillId="15" borderId="41" xfId="0" applyNumberFormat="1" applyFont="1" applyFill="1" applyBorder="1" applyAlignment="1">
      <alignment horizontal="center" vertical="center" wrapText="1" readingOrder="1"/>
    </xf>
    <xf numFmtId="37" fontId="42" fillId="14" borderId="41" xfId="0" applyNumberFormat="1" applyFont="1" applyFill="1" applyBorder="1" applyAlignment="1">
      <alignment horizontal="center" vertical="center" wrapText="1" readingOrder="1"/>
    </xf>
    <xf numFmtId="3" fontId="46" fillId="0" borderId="0" xfId="0" applyNumberFormat="1" applyFont="1"/>
    <xf numFmtId="0" fontId="68" fillId="13" borderId="42" xfId="0" applyFont="1" applyFill="1" applyBorder="1" applyAlignment="1">
      <alignment horizontal="center" vertical="center" wrapText="1" readingOrder="1"/>
    </xf>
    <xf numFmtId="3" fontId="42" fillId="14" borderId="43" xfId="0" applyNumberFormat="1" applyFont="1" applyFill="1" applyBorder="1" applyAlignment="1">
      <alignment horizontal="center" vertical="center" wrapText="1" readingOrder="1"/>
    </xf>
    <xf numFmtId="3" fontId="42" fillId="15" borderId="44" xfId="0" applyNumberFormat="1" applyFont="1" applyFill="1" applyBorder="1" applyAlignment="1">
      <alignment horizontal="center" vertical="center" wrapText="1" readingOrder="1"/>
    </xf>
    <xf numFmtId="3" fontId="42" fillId="0" borderId="0" xfId="0" applyNumberFormat="1" applyFont="1" applyAlignment="1">
      <alignment horizontal="center" wrapText="1" readingOrder="1"/>
    </xf>
    <xf numFmtId="0" fontId="42" fillId="0" borderId="0" xfId="0" applyFont="1" applyAlignment="1">
      <alignment horizontal="center" wrapText="1" readingOrder="1"/>
    </xf>
    <xf numFmtId="0" fontId="70" fillId="0" borderId="1" xfId="0" applyFont="1" applyBorder="1" applyAlignment="1">
      <alignment horizontal="left" vertical="center" wrapText="1" readingOrder="1"/>
    </xf>
    <xf numFmtId="3" fontId="70" fillId="0" borderId="1" xfId="0" applyNumberFormat="1" applyFont="1" applyBorder="1" applyAlignment="1">
      <alignment horizontal="center" vertical="center" wrapText="1" readingOrder="1"/>
    </xf>
    <xf numFmtId="0" fontId="63" fillId="0" borderId="1" xfId="0" applyFont="1" applyBorder="1" applyAlignment="1">
      <alignment horizontal="left"/>
    </xf>
    <xf numFmtId="37" fontId="63" fillId="0" borderId="1" xfId="0" applyNumberFormat="1" applyFont="1" applyBorder="1" applyAlignment="1">
      <alignment horizontal="center"/>
    </xf>
    <xf numFmtId="0" fontId="71" fillId="4" borderId="1" xfId="0" applyFont="1" applyFill="1" applyBorder="1" applyAlignment="1">
      <alignment horizontal="center" vertical="center"/>
    </xf>
    <xf numFmtId="0" fontId="72" fillId="4" borderId="1" xfId="0" applyFont="1" applyFill="1" applyBorder="1"/>
    <xf numFmtId="2" fontId="72" fillId="4" borderId="1" xfId="0" applyNumberFormat="1" applyFont="1" applyFill="1" applyBorder="1"/>
    <xf numFmtId="37" fontId="0" fillId="0" borderId="0" xfId="0" applyNumberFormat="1" applyAlignment="1">
      <alignment horizontal="center"/>
    </xf>
    <xf numFmtId="37" fontId="42" fillId="15" borderId="41" xfId="0" applyNumberFormat="1" applyFont="1" applyFill="1" applyBorder="1" applyAlignment="1">
      <alignment horizontal="center" vertical="center" wrapText="1" readingOrder="1"/>
    </xf>
    <xf numFmtId="37" fontId="68" fillId="13" borderId="39" xfId="0" applyNumberFormat="1" applyFont="1" applyFill="1" applyBorder="1" applyAlignment="1">
      <alignment horizontal="center" vertical="center" wrapText="1" readingOrder="1"/>
    </xf>
    <xf numFmtId="37" fontId="42" fillId="14" borderId="40" xfId="0" applyNumberFormat="1" applyFont="1" applyFill="1" applyBorder="1" applyAlignment="1">
      <alignment horizontal="center" vertical="center" wrapText="1" readingOrder="1"/>
    </xf>
    <xf numFmtId="37" fontId="68" fillId="0" borderId="0" xfId="0" applyNumberFormat="1" applyFont="1" applyAlignment="1">
      <alignment horizontal="center" vertical="center" wrapText="1" readingOrder="1"/>
    </xf>
    <xf numFmtId="37" fontId="42" fillId="0" borderId="0" xfId="0" applyNumberFormat="1" applyFont="1" applyAlignment="1">
      <alignment horizontal="left" vertical="center" wrapText="1" readingOrder="1"/>
    </xf>
    <xf numFmtId="37" fontId="42" fillId="15" borderId="44" xfId="0" applyNumberFormat="1" applyFont="1" applyFill="1" applyBorder="1" applyAlignment="1">
      <alignment horizontal="center" vertical="center" wrapText="1" readingOrder="1"/>
    </xf>
    <xf numFmtId="37" fontId="42" fillId="14" borderId="44" xfId="0" applyNumberFormat="1" applyFont="1" applyFill="1" applyBorder="1" applyAlignment="1">
      <alignment horizontal="center" vertical="center" wrapText="1" readingOrder="1"/>
    </xf>
    <xf numFmtId="0" fontId="73" fillId="16" borderId="45" xfId="0" applyFont="1" applyFill="1" applyBorder="1"/>
    <xf numFmtId="0" fontId="74" fillId="17" borderId="46" xfId="0" applyFont="1" applyFill="1" applyBorder="1" applyAlignment="1">
      <alignment horizontal="center"/>
    </xf>
    <xf numFmtId="0" fontId="75" fillId="18" borderId="47" xfId="0" applyFont="1" applyFill="1" applyBorder="1"/>
    <xf numFmtId="0" fontId="76" fillId="19" borderId="48" xfId="0" applyFont="1" applyFill="1" applyBorder="1"/>
    <xf numFmtId="3" fontId="37" fillId="0" borderId="3" xfId="0" applyNumberFormat="1" applyFont="1" applyBorder="1" applyAlignment="1">
      <alignment horizontal="center" wrapText="1" readingOrder="1"/>
    </xf>
    <xf numFmtId="3" fontId="37" fillId="0" borderId="3" xfId="0" applyNumberFormat="1" applyFont="1" applyBorder="1" applyAlignment="1">
      <alignment horizontal="center" vertical="center" wrapText="1" readingOrder="1"/>
    </xf>
    <xf numFmtId="0" fontId="37" fillId="0" borderId="3" xfId="0" applyFont="1" applyBorder="1" applyAlignment="1">
      <alignment horizontal="center" vertical="center" wrapText="1" readingOrder="1"/>
    </xf>
    <xf numFmtId="21" fontId="37" fillId="0" borderId="3" xfId="0" applyNumberFormat="1" applyFont="1" applyBorder="1" applyAlignment="1">
      <alignment horizontal="center" vertical="center" wrapText="1" readingOrder="1"/>
    </xf>
    <xf numFmtId="0" fontId="37" fillId="0" borderId="3" xfId="0" applyFont="1" applyBorder="1" applyAlignment="1">
      <alignment horizontal="center" wrapText="1" readingOrder="1"/>
    </xf>
    <xf numFmtId="0" fontId="0" fillId="4" borderId="49" xfId="0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3" fontId="0" fillId="0" borderId="49" xfId="0" applyNumberFormat="1" applyBorder="1" applyAlignment="1">
      <alignment horizontal="center" vertical="center"/>
    </xf>
    <xf numFmtId="49" fontId="0" fillId="0" borderId="49" xfId="0" applyNumberFormat="1" applyBorder="1" applyAlignment="1">
      <alignment horizontal="center" vertical="center"/>
    </xf>
    <xf numFmtId="3" fontId="77" fillId="0" borderId="0" xfId="0" applyNumberFormat="1" applyFont="1"/>
    <xf numFmtId="0" fontId="5" fillId="0" borderId="0" xfId="0" applyFont="1" applyAlignment="1">
      <alignment horizontal="center" vertical="center"/>
    </xf>
    <xf numFmtId="0" fontId="0" fillId="0" borderId="49" xfId="0" applyBorder="1"/>
    <xf numFmtId="0" fontId="0" fillId="20" borderId="2" xfId="0" applyFill="1" applyBorder="1"/>
    <xf numFmtId="0" fontId="0" fillId="0" borderId="7" xfId="0" applyBorder="1" applyAlignment="1">
      <alignment horizontal="center" vertical="center"/>
    </xf>
    <xf numFmtId="0" fontId="0" fillId="20" borderId="0" xfId="0" applyFill="1"/>
    <xf numFmtId="3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73" fillId="0" borderId="1" xfId="0" applyFont="1" applyBorder="1"/>
    <xf numFmtId="37" fontId="73" fillId="0" borderId="1" xfId="0" applyNumberFormat="1" applyFont="1" applyBorder="1"/>
    <xf numFmtId="0" fontId="73" fillId="0" borderId="1" xfId="0" applyFont="1" applyBorder="1" applyAlignment="1">
      <alignment horizontal="center" vertical="center"/>
    </xf>
    <xf numFmtId="37" fontId="73" fillId="0" borderId="1" xfId="0" applyNumberFormat="1" applyFont="1" applyBorder="1" applyAlignment="1">
      <alignment horizontal="center" vertical="center"/>
    </xf>
    <xf numFmtId="0" fontId="79" fillId="0" borderId="0" xfId="0" applyFont="1"/>
    <xf numFmtId="37" fontId="79" fillId="0" borderId="0" xfId="0" applyNumberFormat="1" applyFont="1"/>
    <xf numFmtId="0" fontId="28" fillId="11" borderId="1" xfId="0" applyFont="1" applyFill="1" applyBorder="1" applyAlignment="1">
      <alignment horizontal="center" readingOrder="1"/>
    </xf>
    <xf numFmtId="0" fontId="78" fillId="11" borderId="1" xfId="0" applyFont="1" applyFill="1" applyBorder="1" applyAlignment="1">
      <alignment horizontal="center" vertical="center" readingOrder="1"/>
    </xf>
    <xf numFmtId="3" fontId="27" fillId="0" borderId="1" xfId="0" applyNumberFormat="1" applyFont="1" applyBorder="1" applyAlignment="1">
      <alignment horizontal="center" vertical="center" readingOrder="1"/>
    </xf>
    <xf numFmtId="0" fontId="73" fillId="0" borderId="0" xfId="0" applyFont="1"/>
    <xf numFmtId="0" fontId="73" fillId="0" borderId="0" xfId="0" applyFont="1" applyAlignment="1">
      <alignment wrapText="1"/>
    </xf>
    <xf numFmtId="0" fontId="37" fillId="0" borderId="0" xfId="0" applyFont="1" applyAlignment="1">
      <alignment horizontal="left" vertical="center" wrapText="1" readingOrder="1"/>
    </xf>
    <xf numFmtId="37" fontId="56" fillId="0" borderId="1" xfId="0" applyNumberFormat="1" applyFont="1" applyBorder="1" applyAlignment="1">
      <alignment horizontal="center" vertical="center"/>
    </xf>
    <xf numFmtId="37" fontId="82" fillId="0" borderId="1" xfId="0" applyNumberFormat="1" applyFont="1" applyBorder="1" applyAlignment="1">
      <alignment horizontal="center" vertical="center"/>
    </xf>
    <xf numFmtId="41" fontId="82" fillId="0" borderId="1" xfId="4" applyNumberFormat="1" applyFont="1" applyBorder="1" applyAlignment="1">
      <alignment horizontal="center" vertical="center"/>
    </xf>
    <xf numFmtId="37" fontId="56" fillId="0" borderId="1" xfId="0" applyNumberFormat="1" applyFont="1" applyBorder="1"/>
    <xf numFmtId="3" fontId="73" fillId="0" borderId="1" xfId="0" applyNumberFormat="1" applyFont="1" applyBorder="1" applyAlignment="1">
      <alignment horizontal="center" vertical="center"/>
    </xf>
    <xf numFmtId="10" fontId="73" fillId="0" borderId="1" xfId="0" applyNumberFormat="1" applyFont="1" applyBorder="1" applyAlignment="1">
      <alignment horizontal="center" vertical="center"/>
    </xf>
    <xf numFmtId="3" fontId="83" fillId="0" borderId="1" xfId="0" applyNumberFormat="1" applyFont="1" applyBorder="1" applyAlignment="1">
      <alignment horizontal="center" vertical="center"/>
    </xf>
    <xf numFmtId="0" fontId="73" fillId="4" borderId="1" xfId="0" applyFont="1" applyFill="1" applyBorder="1"/>
    <xf numFmtId="37" fontId="80" fillId="4" borderId="1" xfId="0" applyNumberFormat="1" applyFont="1" applyFill="1" applyBorder="1" applyAlignment="1">
      <alignment horizontal="center" vertical="center"/>
    </xf>
    <xf numFmtId="10" fontId="80" fillId="4" borderId="1" xfId="0" applyNumberFormat="1" applyFont="1" applyFill="1" applyBorder="1" applyAlignment="1">
      <alignment horizontal="center" vertical="center"/>
    </xf>
    <xf numFmtId="37" fontId="73" fillId="0" borderId="0" xfId="0" applyNumberFormat="1" applyFont="1" applyAlignment="1">
      <alignment horizontal="center" vertical="center"/>
    </xf>
    <xf numFmtId="10" fontId="73" fillId="0" borderId="0" xfId="0" applyNumberFormat="1" applyFont="1" applyAlignment="1">
      <alignment horizontal="center" vertical="center"/>
    </xf>
    <xf numFmtId="0" fontId="42" fillId="0" borderId="40" xfId="0" applyFont="1" applyBorder="1" applyAlignment="1">
      <alignment horizontal="center" vertical="center" wrapText="1" readingOrder="1"/>
    </xf>
    <xf numFmtId="10" fontId="43" fillId="0" borderId="40" xfId="0" applyNumberFormat="1" applyFont="1" applyBorder="1" applyAlignment="1">
      <alignment horizontal="center" vertical="center" wrapText="1" readingOrder="1"/>
    </xf>
    <xf numFmtId="21" fontId="42" fillId="0" borderId="40" xfId="0" applyNumberFormat="1" applyFont="1" applyBorder="1" applyAlignment="1">
      <alignment horizontal="center" vertical="center" wrapText="1" readingOrder="1"/>
    </xf>
    <xf numFmtId="3" fontId="43" fillId="0" borderId="40" xfId="0" applyNumberFormat="1" applyFont="1" applyBorder="1" applyAlignment="1">
      <alignment horizontal="center" vertical="center" wrapText="1" readingOrder="1"/>
    </xf>
    <xf numFmtId="3" fontId="42" fillId="0" borderId="40" xfId="0" applyNumberFormat="1" applyFont="1" applyBorder="1" applyAlignment="1">
      <alignment horizontal="center" vertical="center" wrapText="1" readingOrder="1"/>
    </xf>
    <xf numFmtId="37" fontId="42" fillId="0" borderId="40" xfId="0" applyNumberFormat="1" applyFont="1" applyBorder="1" applyAlignment="1">
      <alignment horizontal="center" vertical="center" wrapText="1" readingOrder="1"/>
    </xf>
    <xf numFmtId="0" fontId="42" fillId="0" borderId="41" xfId="0" applyFont="1" applyBorder="1" applyAlignment="1">
      <alignment horizontal="center" vertical="center" wrapText="1" readingOrder="1"/>
    </xf>
    <xf numFmtId="10" fontId="43" fillId="0" borderId="41" xfId="0" applyNumberFormat="1" applyFont="1" applyBorder="1" applyAlignment="1">
      <alignment horizontal="center" vertical="center" wrapText="1" readingOrder="1"/>
    </xf>
    <xf numFmtId="22" fontId="42" fillId="0" borderId="41" xfId="0" applyNumberFormat="1" applyFont="1" applyBorder="1" applyAlignment="1">
      <alignment horizontal="center" vertical="center" wrapText="1" readingOrder="1"/>
    </xf>
    <xf numFmtId="3" fontId="42" fillId="0" borderId="41" xfId="0" applyNumberFormat="1" applyFont="1" applyBorder="1" applyAlignment="1">
      <alignment horizontal="center" vertical="center" wrapText="1" readingOrder="1"/>
    </xf>
    <xf numFmtId="37" fontId="42" fillId="0" borderId="41" xfId="0" applyNumberFormat="1" applyFont="1" applyBorder="1" applyAlignment="1">
      <alignment horizontal="center" vertical="center" wrapText="1" readingOrder="1"/>
    </xf>
    <xf numFmtId="10" fontId="42" fillId="0" borderId="41" xfId="0" applyNumberFormat="1" applyFont="1" applyBorder="1" applyAlignment="1">
      <alignment horizontal="center" vertical="center" wrapText="1" readingOrder="1"/>
    </xf>
    <xf numFmtId="21" fontId="42" fillId="0" borderId="41" xfId="0" applyNumberFormat="1" applyFont="1" applyBorder="1" applyAlignment="1">
      <alignment horizontal="center" vertical="center" wrapText="1" readingOrder="1"/>
    </xf>
    <xf numFmtId="0" fontId="84" fillId="21" borderId="50" xfId="0" applyFont="1" applyFill="1" applyBorder="1"/>
    <xf numFmtId="0" fontId="85" fillId="22" borderId="51" xfId="0" applyFont="1" applyFill="1" applyBorder="1"/>
    <xf numFmtId="0" fontId="86" fillId="23" borderId="52" xfId="0" applyFont="1" applyFill="1" applyBorder="1"/>
    <xf numFmtId="2" fontId="87" fillId="24" borderId="53" xfId="0" applyNumberFormat="1" applyFont="1" applyFill="1" applyBorder="1"/>
    <xf numFmtId="3" fontId="27" fillId="0" borderId="0" xfId="0" applyNumberFormat="1" applyFont="1" applyAlignment="1">
      <alignment horizontal="center" vertical="center" wrapText="1" readingOrder="1"/>
    </xf>
    <xf numFmtId="10" fontId="27" fillId="0" borderId="0" xfId="0" applyNumberFormat="1" applyFont="1" applyAlignment="1">
      <alignment horizontal="center" vertical="center" wrapText="1" readingOrder="1"/>
    </xf>
    <xf numFmtId="10" fontId="73" fillId="0" borderId="0" xfId="0" applyNumberFormat="1" applyFont="1" applyAlignment="1">
      <alignment horizontal="center" vertical="center" wrapText="1"/>
    </xf>
    <xf numFmtId="10" fontId="73" fillId="0" borderId="0" xfId="0" applyNumberFormat="1" applyFont="1" applyAlignment="1">
      <alignment wrapText="1"/>
    </xf>
    <xf numFmtId="3" fontId="73" fillId="0" borderId="0" xfId="0" applyNumberFormat="1" applyFont="1" applyAlignment="1">
      <alignment horizontal="center" vertical="center" wrapText="1"/>
    </xf>
    <xf numFmtId="3" fontId="37" fillId="0" borderId="0" xfId="0" applyNumberFormat="1" applyFont="1" applyAlignment="1">
      <alignment horizontal="center" vertical="center" wrapText="1" readingOrder="1"/>
    </xf>
    <xf numFmtId="0" fontId="37" fillId="0" borderId="0" xfId="0" applyFont="1" applyAlignment="1">
      <alignment horizontal="center" vertical="center" wrapText="1" readingOrder="1"/>
    </xf>
    <xf numFmtId="21" fontId="37" fillId="0" borderId="0" xfId="0" applyNumberFormat="1" applyFont="1" applyAlignment="1">
      <alignment horizontal="center" vertical="center" wrapText="1" readingOrder="1"/>
    </xf>
    <xf numFmtId="0" fontId="88" fillId="25" borderId="54" xfId="0" applyFont="1" applyFill="1" applyBorder="1" applyAlignment="1">
      <alignment horizontal="center"/>
    </xf>
    <xf numFmtId="37" fontId="89" fillId="26" borderId="55" xfId="0" applyNumberFormat="1" applyFont="1" applyFill="1" applyBorder="1" applyAlignment="1">
      <alignment horizontal="center"/>
    </xf>
    <xf numFmtId="0" fontId="90" fillId="27" borderId="56" xfId="0" applyFont="1" applyFill="1" applyBorder="1" applyAlignment="1">
      <alignment horizontal="left"/>
    </xf>
    <xf numFmtId="37" fontId="91" fillId="28" borderId="57" xfId="0" applyNumberFormat="1" applyFont="1" applyFill="1" applyBorder="1" applyAlignment="1">
      <alignment horizontal="center"/>
    </xf>
    <xf numFmtId="0" fontId="92" fillId="29" borderId="58" xfId="0" applyFont="1" applyFill="1" applyBorder="1" applyAlignment="1">
      <alignment horizontal="left"/>
    </xf>
    <xf numFmtId="37" fontId="93" fillId="30" borderId="59" xfId="0" applyNumberFormat="1" applyFont="1" applyFill="1" applyBorder="1" applyAlignment="1">
      <alignment horizontal="center"/>
    </xf>
    <xf numFmtId="0" fontId="94" fillId="31" borderId="60" xfId="0" applyFont="1" applyFill="1" applyBorder="1" applyAlignment="1">
      <alignment horizontal="left"/>
    </xf>
    <xf numFmtId="37" fontId="95" fillId="32" borderId="61" xfId="0" applyNumberFormat="1" applyFont="1" applyFill="1" applyBorder="1" applyAlignment="1">
      <alignment horizontal="center"/>
    </xf>
    <xf numFmtId="0" fontId="96" fillId="33" borderId="62" xfId="0" applyFont="1" applyFill="1" applyBorder="1" applyAlignment="1">
      <alignment horizontal="left"/>
    </xf>
    <xf numFmtId="37" fontId="97" fillId="34" borderId="63" xfId="0" applyNumberFormat="1" applyFont="1" applyFill="1" applyBorder="1" applyAlignment="1">
      <alignment horizontal="center"/>
    </xf>
    <xf numFmtId="0" fontId="98" fillId="35" borderId="64" xfId="0" applyFont="1" applyFill="1" applyBorder="1" applyAlignment="1">
      <alignment horizontal="left"/>
    </xf>
    <xf numFmtId="37" fontId="99" fillId="36" borderId="65" xfId="0" applyNumberFormat="1" applyFont="1" applyFill="1" applyBorder="1" applyAlignment="1">
      <alignment horizontal="center"/>
    </xf>
    <xf numFmtId="0" fontId="100" fillId="37" borderId="66" xfId="0" applyFont="1" applyFill="1" applyBorder="1" applyAlignment="1">
      <alignment horizontal="left"/>
    </xf>
    <xf numFmtId="37" fontId="101" fillId="38" borderId="67" xfId="0" applyNumberFormat="1" applyFont="1" applyFill="1" applyBorder="1" applyAlignment="1">
      <alignment horizontal="center"/>
    </xf>
    <xf numFmtId="0" fontId="102" fillId="39" borderId="68" xfId="0" applyFont="1" applyFill="1" applyBorder="1" applyAlignment="1">
      <alignment horizontal="left"/>
    </xf>
    <xf numFmtId="37" fontId="103" fillId="40" borderId="69" xfId="0" applyNumberFormat="1" applyFont="1" applyFill="1" applyBorder="1" applyAlignment="1">
      <alignment horizontal="center"/>
    </xf>
    <xf numFmtId="0" fontId="104" fillId="41" borderId="70" xfId="0" applyFont="1" applyFill="1" applyBorder="1" applyAlignment="1">
      <alignment horizontal="left"/>
    </xf>
    <xf numFmtId="37" fontId="105" fillId="42" borderId="71" xfId="0" applyNumberFormat="1" applyFont="1" applyFill="1" applyBorder="1" applyAlignment="1">
      <alignment horizontal="center"/>
    </xf>
    <xf numFmtId="0" fontId="106" fillId="43" borderId="72" xfId="0" applyFont="1" applyFill="1" applyBorder="1" applyAlignment="1">
      <alignment horizontal="left"/>
    </xf>
    <xf numFmtId="37" fontId="107" fillId="44" borderId="73" xfId="0" applyNumberFormat="1" applyFont="1" applyFill="1" applyBorder="1" applyAlignment="1">
      <alignment horizontal="center"/>
    </xf>
    <xf numFmtId="0" fontId="108" fillId="45" borderId="74" xfId="0" applyFont="1" applyFill="1" applyBorder="1" applyAlignment="1">
      <alignment horizontal="left"/>
    </xf>
    <xf numFmtId="37" fontId="109" fillId="46" borderId="75" xfId="0" applyNumberFormat="1" applyFont="1" applyFill="1" applyBorder="1" applyAlignment="1">
      <alignment horizontal="center"/>
    </xf>
    <xf numFmtId="0" fontId="110" fillId="47" borderId="76" xfId="0" applyFont="1" applyFill="1" applyBorder="1" applyAlignment="1">
      <alignment horizontal="left"/>
    </xf>
    <xf numFmtId="37" fontId="111" fillId="48" borderId="77" xfId="0" applyNumberFormat="1" applyFont="1" applyFill="1" applyBorder="1" applyAlignment="1">
      <alignment horizontal="center"/>
    </xf>
    <xf numFmtId="0" fontId="112" fillId="49" borderId="78" xfId="0" applyFont="1" applyFill="1" applyBorder="1" applyAlignment="1">
      <alignment horizontal="left"/>
    </xf>
    <xf numFmtId="37" fontId="113" fillId="50" borderId="79" xfId="0" applyNumberFormat="1" applyFont="1" applyFill="1" applyBorder="1" applyAlignment="1">
      <alignment horizontal="center"/>
    </xf>
    <xf numFmtId="0" fontId="114" fillId="51" borderId="80" xfId="0" applyFont="1" applyFill="1" applyBorder="1" applyAlignment="1">
      <alignment horizontal="left"/>
    </xf>
    <xf numFmtId="37" fontId="115" fillId="52" borderId="81" xfId="0" applyNumberFormat="1" applyFont="1" applyFill="1" applyBorder="1" applyAlignment="1">
      <alignment horizontal="center"/>
    </xf>
    <xf numFmtId="0" fontId="116" fillId="53" borderId="82" xfId="0" applyFont="1" applyFill="1" applyBorder="1" applyAlignment="1">
      <alignment horizontal="left"/>
    </xf>
    <xf numFmtId="37" fontId="117" fillId="54" borderId="83" xfId="0" applyNumberFormat="1" applyFont="1" applyFill="1" applyBorder="1" applyAlignment="1">
      <alignment horizontal="center"/>
    </xf>
    <xf numFmtId="0" fontId="118" fillId="55" borderId="84" xfId="0" applyFont="1" applyFill="1" applyBorder="1" applyAlignment="1">
      <alignment horizontal="left"/>
    </xf>
    <xf numFmtId="37" fontId="119" fillId="56" borderId="85" xfId="0" applyNumberFormat="1" applyFont="1" applyFill="1" applyBorder="1" applyAlignment="1">
      <alignment horizontal="center"/>
    </xf>
    <xf numFmtId="0" fontId="120" fillId="57" borderId="86" xfId="0" applyFont="1" applyFill="1" applyBorder="1" applyAlignment="1">
      <alignment horizontal="center"/>
    </xf>
    <xf numFmtId="0" fontId="121" fillId="58" borderId="87" xfId="0" applyFont="1" applyFill="1" applyBorder="1" applyAlignment="1">
      <alignment horizontal="center"/>
    </xf>
    <xf numFmtId="0" fontId="122" fillId="59" borderId="88" xfId="0" applyFont="1" applyFill="1" applyBorder="1"/>
    <xf numFmtId="37" fontId="123" fillId="60" borderId="89" xfId="0" applyNumberFormat="1" applyFont="1" applyFill="1" applyBorder="1" applyAlignment="1">
      <alignment horizontal="center"/>
    </xf>
    <xf numFmtId="0" fontId="124" fillId="61" borderId="90" xfId="0" applyFont="1" applyFill="1" applyBorder="1"/>
    <xf numFmtId="37" fontId="125" fillId="62" borderId="91" xfId="0" applyNumberFormat="1" applyFont="1" applyFill="1" applyBorder="1" applyAlignment="1">
      <alignment horizontal="center"/>
    </xf>
    <xf numFmtId="0" fontId="126" fillId="63" borderId="92" xfId="0" applyFont="1" applyFill="1" applyBorder="1"/>
    <xf numFmtId="37" fontId="127" fillId="64" borderId="93" xfId="0" applyNumberFormat="1" applyFont="1" applyFill="1" applyBorder="1" applyAlignment="1">
      <alignment horizontal="center"/>
    </xf>
    <xf numFmtId="0" fontId="128" fillId="65" borderId="94" xfId="0" applyFont="1" applyFill="1" applyBorder="1"/>
    <xf numFmtId="37" fontId="129" fillId="66" borderId="95" xfId="0" applyNumberFormat="1" applyFont="1" applyFill="1" applyBorder="1" applyAlignment="1">
      <alignment horizontal="center"/>
    </xf>
    <xf numFmtId="0" fontId="130" fillId="67" borderId="96" xfId="0" applyFont="1" applyFill="1" applyBorder="1"/>
    <xf numFmtId="37" fontId="131" fillId="68" borderId="97" xfId="0" applyNumberFormat="1" applyFont="1" applyFill="1" applyBorder="1" applyAlignment="1">
      <alignment horizontal="center"/>
    </xf>
    <xf numFmtId="0" fontId="132" fillId="69" borderId="98" xfId="0" applyFont="1" applyFill="1" applyBorder="1"/>
    <xf numFmtId="37" fontId="133" fillId="70" borderId="99" xfId="0" applyNumberFormat="1" applyFont="1" applyFill="1" applyBorder="1" applyAlignment="1">
      <alignment horizontal="center"/>
    </xf>
    <xf numFmtId="0" fontId="134" fillId="71" borderId="100" xfId="0" applyFont="1" applyFill="1" applyBorder="1"/>
    <xf numFmtId="37" fontId="135" fillId="72" borderId="101" xfId="0" applyNumberFormat="1" applyFont="1" applyFill="1" applyBorder="1" applyAlignment="1">
      <alignment horizontal="center"/>
    </xf>
    <xf numFmtId="0" fontId="136" fillId="73" borderId="102" xfId="0" applyFont="1" applyFill="1" applyBorder="1" applyAlignment="1">
      <alignment horizontal="center"/>
    </xf>
    <xf numFmtId="0" fontId="137" fillId="74" borderId="103" xfId="0" applyFont="1" applyFill="1" applyBorder="1" applyAlignment="1">
      <alignment horizontal="center"/>
    </xf>
    <xf numFmtId="0" fontId="138" fillId="75" borderId="104" xfId="0" applyFont="1" applyFill="1" applyBorder="1" applyAlignment="1">
      <alignment horizontal="center" vertical="center"/>
    </xf>
    <xf numFmtId="37" fontId="139" fillId="76" borderId="105" xfId="0" applyNumberFormat="1" applyFont="1" applyFill="1" applyBorder="1" applyAlignment="1">
      <alignment horizontal="center" vertical="center"/>
    </xf>
    <xf numFmtId="0" fontId="140" fillId="77" borderId="106" xfId="0" applyFont="1" applyFill="1" applyBorder="1" applyAlignment="1">
      <alignment horizontal="center" vertical="center"/>
    </xf>
    <xf numFmtId="37" fontId="141" fillId="78" borderId="107" xfId="0" applyNumberFormat="1" applyFont="1" applyFill="1" applyBorder="1" applyAlignment="1">
      <alignment horizontal="center" vertical="center"/>
    </xf>
    <xf numFmtId="0" fontId="142" fillId="79" borderId="108" xfId="0" applyFont="1" applyFill="1" applyBorder="1" applyAlignment="1">
      <alignment horizontal="center" vertical="center"/>
    </xf>
    <xf numFmtId="37" fontId="143" fillId="80" borderId="109" xfId="0" applyNumberFormat="1" applyFont="1" applyFill="1" applyBorder="1" applyAlignment="1">
      <alignment horizontal="center" vertical="center"/>
    </xf>
    <xf numFmtId="0" fontId="144" fillId="81" borderId="110" xfId="0" applyFont="1" applyFill="1" applyBorder="1"/>
    <xf numFmtId="1" fontId="145" fillId="82" borderId="111" xfId="0" applyNumberFormat="1" applyFont="1" applyFill="1" applyBorder="1"/>
    <xf numFmtId="1" fontId="146" fillId="83" borderId="112" xfId="0" applyNumberFormat="1" applyFont="1" applyFill="1" applyBorder="1"/>
    <xf numFmtId="2" fontId="147" fillId="84" borderId="113" xfId="0" applyNumberFormat="1" applyFont="1" applyFill="1" applyBorder="1"/>
    <xf numFmtId="0" fontId="148" fillId="85" borderId="114" xfId="0" applyFont="1" applyFill="1" applyBorder="1"/>
    <xf numFmtId="1" fontId="149" fillId="86" borderId="115" xfId="0" applyNumberFormat="1" applyFont="1" applyFill="1" applyBorder="1"/>
    <xf numFmtId="1" fontId="150" fillId="87" borderId="116" xfId="0" applyNumberFormat="1" applyFont="1" applyFill="1" applyBorder="1"/>
    <xf numFmtId="2" fontId="151" fillId="88" borderId="117" xfId="0" applyNumberFormat="1" applyFont="1" applyFill="1" applyBorder="1"/>
    <xf numFmtId="0" fontId="152" fillId="89" borderId="118" xfId="0" applyFont="1" applyFill="1" applyBorder="1"/>
    <xf numFmtId="1" fontId="153" fillId="90" borderId="119" xfId="0" applyNumberFormat="1" applyFont="1" applyFill="1" applyBorder="1"/>
    <xf numFmtId="1" fontId="154" fillId="91" borderId="120" xfId="0" applyNumberFormat="1" applyFont="1" applyFill="1" applyBorder="1"/>
    <xf numFmtId="2" fontId="155" fillId="92" borderId="121" xfId="0" applyNumberFormat="1" applyFont="1" applyFill="1" applyBorder="1"/>
    <xf numFmtId="0" fontId="156" fillId="93" borderId="122" xfId="0" applyFont="1" applyFill="1" applyBorder="1"/>
    <xf numFmtId="1" fontId="157" fillId="94" borderId="123" xfId="0" applyNumberFormat="1" applyFont="1" applyFill="1" applyBorder="1"/>
    <xf numFmtId="1" fontId="158" fillId="95" borderId="124" xfId="0" applyNumberFormat="1" applyFont="1" applyFill="1" applyBorder="1"/>
    <xf numFmtId="2" fontId="159" fillId="96" borderId="125" xfId="0" applyNumberFormat="1" applyFont="1" applyFill="1" applyBorder="1"/>
    <xf numFmtId="0" fontId="160" fillId="97" borderId="126" xfId="0" applyFont="1" applyFill="1" applyBorder="1"/>
    <xf numFmtId="1" fontId="161" fillId="98" borderId="127" xfId="0" applyNumberFormat="1" applyFont="1" applyFill="1" applyBorder="1"/>
    <xf numFmtId="1" fontId="162" fillId="99" borderId="128" xfId="0" applyNumberFormat="1" applyFont="1" applyFill="1" applyBorder="1"/>
    <xf numFmtId="2" fontId="163" fillId="100" borderId="129" xfId="0" applyNumberFormat="1" applyFont="1" applyFill="1" applyBorder="1"/>
    <xf numFmtId="0" fontId="164" fillId="101" borderId="130" xfId="0" applyFont="1" applyFill="1" applyBorder="1"/>
    <xf numFmtId="1" fontId="165" fillId="102" borderId="131" xfId="0" applyNumberFormat="1" applyFont="1" applyFill="1" applyBorder="1"/>
    <xf numFmtId="1" fontId="166" fillId="103" borderId="132" xfId="0" applyNumberFormat="1" applyFont="1" applyFill="1" applyBorder="1"/>
    <xf numFmtId="2" fontId="167" fillId="104" borderId="133" xfId="0" applyNumberFormat="1" applyFont="1" applyFill="1" applyBorder="1"/>
    <xf numFmtId="0" fontId="168" fillId="105" borderId="134" xfId="0" applyFont="1" applyFill="1" applyBorder="1"/>
    <xf numFmtId="1" fontId="169" fillId="106" borderId="135" xfId="0" applyNumberFormat="1" applyFont="1" applyFill="1" applyBorder="1"/>
    <xf numFmtId="1" fontId="170" fillId="107" borderId="136" xfId="0" applyNumberFormat="1" applyFont="1" applyFill="1" applyBorder="1"/>
    <xf numFmtId="2" fontId="171" fillId="108" borderId="137" xfId="0" applyNumberFormat="1" applyFont="1" applyFill="1" applyBorder="1"/>
    <xf numFmtId="0" fontId="172" fillId="109" borderId="138" xfId="0" applyFont="1" applyFill="1" applyBorder="1"/>
    <xf numFmtId="1" fontId="173" fillId="110" borderId="139" xfId="0" applyNumberFormat="1" applyFont="1" applyFill="1" applyBorder="1"/>
    <xf numFmtId="1" fontId="174" fillId="111" borderId="140" xfId="0" applyNumberFormat="1" applyFont="1" applyFill="1" applyBorder="1"/>
    <xf numFmtId="2" fontId="175" fillId="112" borderId="141" xfId="0" applyNumberFormat="1" applyFont="1" applyFill="1" applyBorder="1"/>
    <xf numFmtId="0" fontId="176" fillId="113" borderId="142" xfId="0" applyFont="1" applyFill="1" applyBorder="1"/>
    <xf numFmtId="1" fontId="177" fillId="114" borderId="143" xfId="0" applyNumberFormat="1" applyFont="1" applyFill="1" applyBorder="1"/>
    <xf numFmtId="1" fontId="178" fillId="115" borderId="144" xfId="0" applyNumberFormat="1" applyFont="1" applyFill="1" applyBorder="1"/>
    <xf numFmtId="2" fontId="179" fillId="116" borderId="145" xfId="0" applyNumberFormat="1" applyFont="1" applyFill="1" applyBorder="1"/>
    <xf numFmtId="0" fontId="81" fillId="4" borderId="145" xfId="0" applyFont="1" applyFill="1" applyBorder="1" applyAlignment="1">
      <alignment horizontal="left" vertical="center" readingOrder="1"/>
    </xf>
    <xf numFmtId="17" fontId="66" fillId="4" borderId="145" xfId="0" applyNumberFormat="1" applyFont="1" applyFill="1" applyBorder="1" applyAlignment="1">
      <alignment horizontal="center" vertical="center"/>
    </xf>
    <xf numFmtId="37" fontId="66" fillId="4" borderId="145" xfId="0" applyNumberFormat="1" applyFont="1" applyFill="1" applyBorder="1" applyAlignment="1">
      <alignment horizontal="center" vertical="center"/>
    </xf>
    <xf numFmtId="0" fontId="66" fillId="4" borderId="145" xfId="0" applyFont="1" applyFill="1" applyBorder="1" applyAlignment="1">
      <alignment horizontal="center" vertical="center"/>
    </xf>
    <xf numFmtId="0" fontId="63" fillId="0" borderId="145" xfId="0" applyFont="1" applyBorder="1" applyAlignment="1">
      <alignment horizontal="left" vertical="center"/>
    </xf>
    <xf numFmtId="0" fontId="63" fillId="0" borderId="145" xfId="0" applyFont="1" applyBorder="1" applyAlignment="1">
      <alignment horizontal="center" vertical="center"/>
    </xf>
    <xf numFmtId="37" fontId="63" fillId="0" borderId="145" xfId="0" applyNumberFormat="1" applyFont="1" applyBorder="1" applyAlignment="1">
      <alignment horizontal="center" vertical="center"/>
    </xf>
    <xf numFmtId="10" fontId="63" fillId="0" borderId="145" xfId="1" applyNumberFormat="1" applyFont="1" applyBorder="1" applyAlignment="1">
      <alignment horizontal="center" vertical="center"/>
    </xf>
    <xf numFmtId="168" fontId="63" fillId="0" borderId="145" xfId="0" applyNumberFormat="1" applyFont="1" applyBorder="1" applyAlignment="1">
      <alignment horizontal="center" vertical="center"/>
    </xf>
    <xf numFmtId="3" fontId="63" fillId="0" borderId="145" xfId="0" applyNumberFormat="1" applyFont="1" applyBorder="1" applyAlignment="1">
      <alignment horizontal="center" vertical="center"/>
    </xf>
    <xf numFmtId="0" fontId="0" fillId="0" borderId="145" xfId="0" applyBorder="1" applyAlignment="1">
      <alignment horizontal="left"/>
    </xf>
    <xf numFmtId="37" fontId="0" fillId="0" borderId="145" xfId="0" applyNumberFormat="1" applyBorder="1"/>
    <xf numFmtId="10" fontId="0" fillId="0" borderId="145" xfId="0" applyNumberFormat="1" applyBorder="1" applyAlignment="1">
      <alignment horizontal="center"/>
    </xf>
    <xf numFmtId="10" fontId="63" fillId="0" borderId="145" xfId="0" applyNumberFormat="1" applyFont="1" applyBorder="1" applyAlignment="1">
      <alignment horizontal="center" vertical="center"/>
    </xf>
    <xf numFmtId="0" fontId="73" fillId="0" borderId="1" xfId="0" applyFont="1" applyBorder="1" applyAlignment="1">
      <alignment vertical="center"/>
    </xf>
    <xf numFmtId="0" fontId="42" fillId="117" borderId="41" xfId="0" applyFont="1" applyFill="1" applyBorder="1" applyAlignment="1">
      <alignment horizontal="center" vertical="center" wrapText="1" readingOrder="1"/>
    </xf>
    <xf numFmtId="0" fontId="0" fillId="117" borderId="0" xfId="0" applyFill="1"/>
    <xf numFmtId="0" fontId="42" fillId="117" borderId="44" xfId="0" applyFont="1" applyFill="1" applyBorder="1" applyAlignment="1">
      <alignment horizontal="center" vertical="center" wrapText="1" readingOrder="1"/>
    </xf>
    <xf numFmtId="0" fontId="42" fillId="14" borderId="44" xfId="0" applyFont="1" applyFill="1" applyBorder="1" applyAlignment="1">
      <alignment horizontal="center" vertical="center" wrapText="1" readingOrder="1"/>
    </xf>
    <xf numFmtId="10" fontId="0" fillId="117" borderId="148" xfId="0" applyNumberFormat="1" applyFill="1" applyBorder="1" applyAlignment="1">
      <alignment horizontal="center"/>
    </xf>
    <xf numFmtId="21" fontId="0" fillId="117" borderId="148" xfId="0" applyNumberFormat="1" applyFill="1" applyBorder="1" applyAlignment="1">
      <alignment horizontal="center"/>
    </xf>
    <xf numFmtId="3" fontId="42" fillId="117" borderId="148" xfId="0" applyNumberFormat="1" applyFont="1" applyFill="1" applyBorder="1" applyAlignment="1">
      <alignment horizontal="center" vertical="center" wrapText="1" readingOrder="1"/>
    </xf>
    <xf numFmtId="0" fontId="0" fillId="117" borderId="148" xfId="0" applyFill="1" applyBorder="1" applyAlignment="1">
      <alignment horizontal="center"/>
    </xf>
    <xf numFmtId="37" fontId="0" fillId="117" borderId="148" xfId="0" applyNumberFormat="1" applyFill="1" applyBorder="1" applyAlignment="1">
      <alignment horizontal="center"/>
    </xf>
    <xf numFmtId="21" fontId="42" fillId="117" borderId="148" xfId="0" applyNumberFormat="1" applyFont="1" applyFill="1" applyBorder="1" applyAlignment="1">
      <alignment horizontal="center" vertical="center" wrapText="1" readingOrder="1"/>
    </xf>
    <xf numFmtId="0" fontId="0" fillId="0" borderId="147" xfId="0" applyBorder="1" applyAlignment="1">
      <alignment vertical="center"/>
    </xf>
    <xf numFmtId="10" fontId="43" fillId="117" borderId="41" xfId="0" applyNumberFormat="1" applyFont="1" applyFill="1" applyBorder="1" applyAlignment="1">
      <alignment horizontal="center" vertical="center" wrapText="1" readingOrder="1"/>
    </xf>
    <xf numFmtId="21" fontId="42" fillId="117" borderId="41" xfId="0" applyNumberFormat="1" applyFont="1" applyFill="1" applyBorder="1" applyAlignment="1">
      <alignment horizontal="center" vertical="center" wrapText="1" readingOrder="1"/>
    </xf>
    <xf numFmtId="3" fontId="42" fillId="117" borderId="41" xfId="0" applyNumberFormat="1" applyFont="1" applyFill="1" applyBorder="1" applyAlignment="1">
      <alignment horizontal="center" vertical="center" wrapText="1" readingOrder="1"/>
    </xf>
    <xf numFmtId="37" fontId="42" fillId="117" borderId="41" xfId="0" applyNumberFormat="1" applyFont="1" applyFill="1" applyBorder="1" applyAlignment="1">
      <alignment horizontal="center" vertical="center" wrapText="1" readingOrder="1"/>
    </xf>
    <xf numFmtId="0" fontId="42" fillId="12" borderId="41" xfId="0" applyFont="1" applyFill="1" applyBorder="1" applyAlignment="1">
      <alignment horizontal="center" vertical="center" wrapText="1" readingOrder="1"/>
    </xf>
    <xf numFmtId="10" fontId="43" fillId="12" borderId="41" xfId="0" applyNumberFormat="1" applyFont="1" applyFill="1" applyBorder="1" applyAlignment="1">
      <alignment horizontal="center" vertical="center" wrapText="1" readingOrder="1"/>
    </xf>
    <xf numFmtId="21" fontId="42" fillId="12" borderId="41" xfId="0" applyNumberFormat="1" applyFont="1" applyFill="1" applyBorder="1" applyAlignment="1">
      <alignment horizontal="center" vertical="center" wrapText="1" readingOrder="1"/>
    </xf>
    <xf numFmtId="3" fontId="42" fillId="12" borderId="41" xfId="0" applyNumberFormat="1" applyFont="1" applyFill="1" applyBorder="1" applyAlignment="1">
      <alignment horizontal="center" vertical="center" wrapText="1" readingOrder="1"/>
    </xf>
    <xf numFmtId="37" fontId="42" fillId="12" borderId="41" xfId="0" applyNumberFormat="1" applyFont="1" applyFill="1" applyBorder="1" applyAlignment="1">
      <alignment horizontal="center" vertical="center" wrapText="1" readingOrder="1"/>
    </xf>
    <xf numFmtId="10" fontId="43" fillId="118" borderId="41" xfId="0" applyNumberFormat="1" applyFont="1" applyFill="1" applyBorder="1" applyAlignment="1">
      <alignment horizontal="center" vertical="center" wrapText="1" readingOrder="1"/>
    </xf>
    <xf numFmtId="21" fontId="42" fillId="118" borderId="41" xfId="0" applyNumberFormat="1" applyFont="1" applyFill="1" applyBorder="1" applyAlignment="1">
      <alignment horizontal="center" vertical="center" wrapText="1" readingOrder="1"/>
    </xf>
    <xf numFmtId="3" fontId="42" fillId="118" borderId="41" xfId="0" applyNumberFormat="1" applyFont="1" applyFill="1" applyBorder="1" applyAlignment="1">
      <alignment horizontal="center" vertical="center" wrapText="1" readingOrder="1"/>
    </xf>
    <xf numFmtId="37" fontId="42" fillId="118" borderId="41" xfId="0" applyNumberFormat="1" applyFont="1" applyFill="1" applyBorder="1" applyAlignment="1">
      <alignment horizontal="center" vertical="center" wrapText="1" readingOrder="1"/>
    </xf>
    <xf numFmtId="10" fontId="43" fillId="12" borderId="146" xfId="0" applyNumberFormat="1" applyFont="1" applyFill="1" applyBorder="1" applyAlignment="1">
      <alignment horizontal="center" vertical="center" wrapText="1" readingOrder="1"/>
    </xf>
    <xf numFmtId="21" fontId="42" fillId="12" borderId="146" xfId="0" applyNumberFormat="1" applyFont="1" applyFill="1" applyBorder="1" applyAlignment="1">
      <alignment horizontal="center" vertical="center" wrapText="1" readingOrder="1"/>
    </xf>
    <xf numFmtId="3" fontId="42" fillId="12" borderId="146" xfId="0" applyNumberFormat="1" applyFont="1" applyFill="1" applyBorder="1" applyAlignment="1">
      <alignment horizontal="center" vertical="center" wrapText="1" readingOrder="1"/>
    </xf>
    <xf numFmtId="37" fontId="42" fillId="12" borderId="146" xfId="0" applyNumberFormat="1" applyFont="1" applyFill="1" applyBorder="1" applyAlignment="1">
      <alignment horizontal="center" vertical="center" wrapText="1" readingOrder="1"/>
    </xf>
    <xf numFmtId="10" fontId="43" fillId="117" borderId="148" xfId="0" applyNumberFormat="1" applyFont="1" applyFill="1" applyBorder="1" applyAlignment="1">
      <alignment horizontal="center" vertical="center" wrapText="1" readingOrder="1"/>
    </xf>
    <xf numFmtId="37" fontId="42" fillId="117" borderId="148" xfId="0" applyNumberFormat="1" applyFont="1" applyFill="1" applyBorder="1" applyAlignment="1">
      <alignment horizontal="center" vertical="center" wrapText="1" readingOrder="1"/>
    </xf>
    <xf numFmtId="10" fontId="43" fillId="12" borderId="148" xfId="0" applyNumberFormat="1" applyFont="1" applyFill="1" applyBorder="1" applyAlignment="1">
      <alignment horizontal="center" vertical="center" wrapText="1" readingOrder="1"/>
    </xf>
    <xf numFmtId="21" fontId="42" fillId="12" borderId="148" xfId="0" applyNumberFormat="1" applyFont="1" applyFill="1" applyBorder="1" applyAlignment="1">
      <alignment horizontal="center" vertical="center" wrapText="1" readingOrder="1"/>
    </xf>
    <xf numFmtId="3" fontId="42" fillId="12" borderId="148" xfId="0" applyNumberFormat="1" applyFont="1" applyFill="1" applyBorder="1" applyAlignment="1">
      <alignment horizontal="center" vertical="center" wrapText="1" readingOrder="1"/>
    </xf>
    <xf numFmtId="37" fontId="42" fillId="12" borderId="148" xfId="0" applyNumberFormat="1" applyFont="1" applyFill="1" applyBorder="1" applyAlignment="1">
      <alignment horizontal="center" vertical="center" wrapText="1" readingOrder="1"/>
    </xf>
    <xf numFmtId="0" fontId="42" fillId="12" borderId="148" xfId="0" applyFont="1" applyFill="1" applyBorder="1" applyAlignment="1">
      <alignment horizontal="center" vertical="center" wrapText="1" readingOrder="1"/>
    </xf>
    <xf numFmtId="3" fontId="37" fillId="0" borderId="0" xfId="0" applyNumberFormat="1" applyFont="1"/>
    <xf numFmtId="3" fontId="53" fillId="0" borderId="0" xfId="0" applyNumberFormat="1" applyFont="1"/>
    <xf numFmtId="0" fontId="42" fillId="118" borderId="149" xfId="0" applyFont="1" applyFill="1" applyBorder="1" applyAlignment="1">
      <alignment horizontal="center" vertical="center" wrapText="1" readingOrder="1"/>
    </xf>
    <xf numFmtId="10" fontId="0" fillId="118" borderId="150" xfId="0" applyNumberFormat="1" applyFill="1" applyBorder="1" applyAlignment="1">
      <alignment horizontal="center"/>
    </xf>
    <xf numFmtId="21" fontId="0" fillId="118" borderId="150" xfId="0" applyNumberFormat="1" applyFill="1" applyBorder="1" applyAlignment="1">
      <alignment horizontal="center"/>
    </xf>
    <xf numFmtId="0" fontId="0" fillId="118" borderId="150" xfId="0" applyFill="1" applyBorder="1" applyAlignment="1">
      <alignment horizontal="center"/>
    </xf>
    <xf numFmtId="37" fontId="0" fillId="118" borderId="150" xfId="0" applyNumberFormat="1" applyFill="1" applyBorder="1" applyAlignment="1">
      <alignment horizontal="center"/>
    </xf>
    <xf numFmtId="0" fontId="42" fillId="117" borderId="151" xfId="0" applyFont="1" applyFill="1" applyBorder="1" applyAlignment="1">
      <alignment horizontal="center" vertical="center" wrapText="1" readingOrder="1"/>
    </xf>
    <xf numFmtId="0" fontId="69" fillId="14" borderId="146" xfId="0" applyFont="1" applyFill="1" applyBorder="1" applyAlignment="1">
      <alignment horizontal="center" wrapText="1" readingOrder="1"/>
    </xf>
    <xf numFmtId="0" fontId="42" fillId="14" borderId="146" xfId="0" applyFont="1" applyFill="1" applyBorder="1" applyAlignment="1">
      <alignment horizontal="left" vertical="center" wrapText="1" readingOrder="1"/>
    </xf>
    <xf numFmtId="0" fontId="69" fillId="15" borderId="155" xfId="0" applyFont="1" applyFill="1" applyBorder="1" applyAlignment="1">
      <alignment horizontal="center" wrapText="1" readingOrder="1"/>
    </xf>
    <xf numFmtId="0" fontId="42" fillId="15" borderId="156" xfId="0" applyFont="1" applyFill="1" applyBorder="1" applyAlignment="1">
      <alignment horizontal="left" vertical="center" wrapText="1" readingOrder="1"/>
    </xf>
    <xf numFmtId="10" fontId="0" fillId="117" borderId="152" xfId="0" applyNumberFormat="1" applyFill="1" applyBorder="1" applyAlignment="1">
      <alignment horizontal="center" vertical="center"/>
    </xf>
    <xf numFmtId="37" fontId="0" fillId="117" borderId="153" xfId="0" applyNumberFormat="1" applyFill="1" applyBorder="1" applyAlignment="1">
      <alignment horizontal="center" vertical="center"/>
    </xf>
    <xf numFmtId="0" fontId="5" fillId="117" borderId="152" xfId="0" applyFont="1" applyFill="1" applyBorder="1" applyAlignment="1">
      <alignment horizontal="center" vertical="center"/>
    </xf>
    <xf numFmtId="2" fontId="5" fillId="117" borderId="154" xfId="0" applyNumberFormat="1" applyFont="1" applyFill="1" applyBorder="1" applyAlignment="1">
      <alignment horizontal="center" vertical="center"/>
    </xf>
    <xf numFmtId="2" fontId="0" fillId="117" borderId="0" xfId="0" applyNumberFormat="1" applyFill="1" applyAlignment="1">
      <alignment horizontal="center" vertical="center"/>
    </xf>
    <xf numFmtId="21" fontId="0" fillId="117" borderId="150" xfId="0" applyNumberFormat="1" applyFill="1" applyBorder="1" applyAlignment="1">
      <alignment horizontal="center" vertical="center"/>
    </xf>
    <xf numFmtId="17" fontId="26" fillId="3" borderId="35" xfId="0" applyNumberFormat="1" applyFont="1" applyFill="1" applyBorder="1" applyAlignment="1">
      <alignment horizontal="center" vertical="center" wrapText="1" readingOrder="1"/>
    </xf>
    <xf numFmtId="17" fontId="26" fillId="3" borderId="36" xfId="0" applyNumberFormat="1" applyFont="1" applyFill="1" applyBorder="1" applyAlignment="1">
      <alignment horizontal="center" vertical="center" wrapText="1" readingOrder="1"/>
    </xf>
    <xf numFmtId="0" fontId="0" fillId="4" borderId="24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4" fillId="5" borderId="0" xfId="0" applyFont="1" applyFill="1" applyAlignment="1">
      <alignment horizontal="center" vertical="center"/>
    </xf>
    <xf numFmtId="0" fontId="57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0" fontId="56" fillId="0" borderId="0" xfId="0" applyFont="1" applyAlignment="1">
      <alignment horizontal="center" vertical="center"/>
    </xf>
    <xf numFmtId="37" fontId="82" fillId="0" borderId="6" xfId="0" applyNumberFormat="1" applyFont="1" applyBorder="1" applyAlignment="1">
      <alignment horizontal="center" vertical="center"/>
    </xf>
    <xf numFmtId="37" fontId="82" fillId="0" borderId="2" xfId="0" applyNumberFormat="1" applyFont="1" applyBorder="1" applyAlignment="1">
      <alignment horizontal="center" vertical="center"/>
    </xf>
    <xf numFmtId="37" fontId="82" fillId="0" borderId="34" xfId="0" applyNumberFormat="1" applyFont="1" applyBorder="1" applyAlignment="1">
      <alignment horizontal="center" vertical="center"/>
    </xf>
    <xf numFmtId="37" fontId="82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65" fillId="7" borderId="0" xfId="0" applyFont="1" applyFill="1" applyAlignment="1">
      <alignment horizontal="center" vertical="top" wrapText="1"/>
    </xf>
    <xf numFmtId="0" fontId="65" fillId="7" borderId="0" xfId="0" applyFont="1" applyFill="1" applyAlignment="1">
      <alignment horizontal="center"/>
    </xf>
    <xf numFmtId="0" fontId="63" fillId="0" borderId="13" xfId="0" applyFont="1" applyBorder="1" applyAlignment="1">
      <alignment horizontal="left" vertical="center" wrapText="1"/>
    </xf>
    <xf numFmtId="0" fontId="63" fillId="0" borderId="19" xfId="0" applyFont="1" applyBorder="1" applyAlignment="1">
      <alignment horizontal="left" vertical="center" wrapText="1"/>
    </xf>
    <xf numFmtId="0" fontId="63" fillId="0" borderId="14" xfId="0" applyFont="1" applyBorder="1" applyAlignment="1">
      <alignment horizontal="left" vertical="center" wrapText="1"/>
    </xf>
    <xf numFmtId="0" fontId="63" fillId="0" borderId="22" xfId="0" applyFont="1" applyBorder="1" applyAlignment="1">
      <alignment horizontal="left" vertical="center" wrapText="1"/>
    </xf>
    <xf numFmtId="0" fontId="63" fillId="0" borderId="0" xfId="0" applyFont="1" applyAlignment="1">
      <alignment horizontal="left" vertical="center" wrapText="1"/>
    </xf>
    <xf numFmtId="0" fontId="63" fillId="0" borderId="30" xfId="0" applyFont="1" applyBorder="1" applyAlignment="1">
      <alignment horizontal="left" vertical="center" wrapText="1"/>
    </xf>
    <xf numFmtId="0" fontId="63" fillId="0" borderId="23" xfId="0" applyFont="1" applyBorder="1" applyAlignment="1">
      <alignment horizontal="left" vertical="center" wrapText="1"/>
    </xf>
    <xf numFmtId="0" fontId="63" fillId="0" borderId="31" xfId="0" applyFont="1" applyBorder="1" applyAlignment="1">
      <alignment horizontal="left" vertical="center" wrapText="1"/>
    </xf>
    <xf numFmtId="0" fontId="63" fillId="0" borderId="4" xfId="0" applyFont="1" applyBorder="1" applyAlignment="1">
      <alignment horizontal="left" vertical="center" wrapText="1"/>
    </xf>
    <xf numFmtId="0" fontId="5" fillId="4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80" fillId="119" borderId="157" xfId="0" applyFont="1" applyFill="1" applyBorder="1" applyAlignment="1">
      <alignment horizontal="center" vertical="middle"/>
    </xf>
    <xf numFmtId="37" fontId="181" fillId="120" borderId="158" xfId="0" applyNumberFormat="1" applyFont="1" applyFill="1" applyBorder="1" applyAlignment="1">
      <alignment horizontal="center" vertical="middle"/>
    </xf>
    <xf numFmtId="0" fontId="182" fillId="121" borderId="159" xfId="0" applyFont="1" applyFill="1" applyBorder="1" applyAlignment="1">
      <alignment horizontal="left"/>
    </xf>
    <xf numFmtId="37" fontId="183" fillId="122" borderId="160" xfId="0" applyNumberFormat="1" applyFont="1" applyFill="1" applyBorder="1" applyAlignment="1">
      <alignment horizontal="center"/>
    </xf>
    <xf numFmtId="0" fontId="184" fillId="123" borderId="161" xfId="0" applyFont="1" applyFill="1" applyBorder="1" applyAlignment="1">
      <alignment horizontal="left"/>
    </xf>
    <xf numFmtId="37" fontId="185" fillId="124" borderId="162" xfId="0" applyNumberFormat="1" applyFont="1" applyFill="1" applyBorder="1" applyAlignment="1">
      <alignment horizontal="center"/>
    </xf>
    <xf numFmtId="0" fontId="186" fillId="125" borderId="163" xfId="0" applyFont="1" applyFill="1" applyBorder="1" applyAlignment="1">
      <alignment horizontal="left"/>
    </xf>
    <xf numFmtId="37" fontId="187" fillId="126" borderId="164" xfId="0" applyNumberFormat="1" applyFont="1" applyFill="1" applyBorder="1" applyAlignment="1">
      <alignment horizontal="center"/>
    </xf>
    <xf numFmtId="0" fontId="188" fillId="127" borderId="165" xfId="0" applyFont="1" applyFill="1" applyBorder="1" applyAlignment="1">
      <alignment horizontal="left"/>
    </xf>
    <xf numFmtId="37" fontId="189" fillId="128" borderId="166" xfId="0" applyNumberFormat="1" applyFont="1" applyFill="1" applyBorder="1" applyAlignment="1">
      <alignment horizontal="center"/>
    </xf>
    <xf numFmtId="0" fontId="190" fillId="129" borderId="167" xfId="0" applyFont="1" applyFill="1" applyBorder="1" applyAlignment="1">
      <alignment horizontal="left"/>
    </xf>
    <xf numFmtId="37" fontId="191" fillId="130" borderId="168" xfId="0" applyNumberFormat="1" applyFont="1" applyFill="1" applyBorder="1" applyAlignment="1">
      <alignment horizontal="center"/>
    </xf>
    <xf numFmtId="0" fontId="192" fillId="131" borderId="169" xfId="0" applyFont="1" applyFill="1" applyBorder="1" applyAlignment="1">
      <alignment horizontal="left"/>
    </xf>
    <xf numFmtId="37" fontId="193" fillId="132" borderId="170" xfId="0" applyNumberFormat="1" applyFont="1" applyFill="1" applyBorder="1" applyAlignment="1">
      <alignment horizontal="center"/>
    </xf>
    <xf numFmtId="0" fontId="194" fillId="133" borderId="171" xfId="0" applyFont="1" applyFill="1" applyBorder="1" applyAlignment="1">
      <alignment horizontal="left"/>
    </xf>
    <xf numFmtId="37" fontId="195" fillId="134" borderId="172" xfId="0" applyNumberFormat="1" applyFont="1" applyFill="1" applyBorder="1" applyAlignment="1">
      <alignment horizontal="center"/>
    </xf>
    <xf numFmtId="0" fontId="196" fillId="135" borderId="173" xfId="0" applyFont="1" applyFill="1" applyBorder="1" applyAlignment="1">
      <alignment horizontal="left"/>
    </xf>
    <xf numFmtId="37" fontId="197" fillId="136" borderId="174" xfId="0" applyNumberFormat="1" applyFont="1" applyFill="1" applyBorder="1" applyAlignment="1">
      <alignment horizontal="center"/>
    </xf>
    <xf numFmtId="0" fontId="198" fillId="137" borderId="175" xfId="0" applyFont="1" applyFill="1" applyBorder="1" applyAlignment="1">
      <alignment horizontal="left"/>
    </xf>
    <xf numFmtId="37" fontId="199" fillId="138" borderId="176" xfId="0" applyNumberFormat="1" applyFont="1" applyFill="1" applyBorder="1" applyAlignment="1">
      <alignment horizontal="center"/>
    </xf>
    <xf numFmtId="0" fontId="200" fillId="139" borderId="177" xfId="0" applyFont="1" applyFill="1" applyBorder="1" applyAlignment="1">
      <alignment horizontal="left"/>
    </xf>
    <xf numFmtId="37" fontId="201" fillId="140" borderId="178" xfId="0" applyNumberFormat="1" applyFont="1" applyFill="1" applyBorder="1" applyAlignment="1">
      <alignment horizontal="center"/>
    </xf>
    <xf numFmtId="0" fontId="202" fillId="141" borderId="179" xfId="0" applyFont="1" applyFill="1" applyBorder="1" applyAlignment="1">
      <alignment horizontal="left"/>
    </xf>
    <xf numFmtId="37" fontId="203" fillId="142" borderId="180" xfId="0" applyNumberFormat="1" applyFont="1" applyFill="1" applyBorder="1" applyAlignment="1">
      <alignment horizontal="center"/>
    </xf>
    <xf numFmtId="0" fontId="204" fillId="143" borderId="181" xfId="0" applyFont="1" applyFill="1" applyBorder="1" applyAlignment="1">
      <alignment horizontal="left"/>
    </xf>
    <xf numFmtId="37" fontId="205" fillId="144" borderId="182" xfId="0" applyNumberFormat="1" applyFont="1" applyFill="1" applyBorder="1" applyAlignment="1">
      <alignment horizontal="center"/>
    </xf>
    <xf numFmtId="0" fontId="206" fillId="145" borderId="183" xfId="0" applyFont="1" applyFill="1" applyBorder="1" applyAlignment="1">
      <alignment horizontal="left"/>
    </xf>
    <xf numFmtId="37" fontId="207" fillId="146" borderId="184" xfId="0" applyNumberFormat="1" applyFont="1" applyFill="1" applyBorder="1" applyAlignment="1">
      <alignment horizontal="center"/>
    </xf>
    <xf numFmtId="0" fontId="208" fillId="147" borderId="185" xfId="0" applyFont="1" applyFill="1" applyBorder="1" applyAlignment="1">
      <alignment horizontal="left"/>
    </xf>
    <xf numFmtId="37" fontId="209" fillId="148" borderId="186" xfId="0" applyNumberFormat="1" applyFont="1" applyFill="1" applyBorder="1" applyAlignment="1">
      <alignment horizontal="center"/>
    </xf>
    <xf numFmtId="0" fontId="210" fillId="149" borderId="187" xfId="0" applyFont="1" applyFill="1" applyBorder="1" applyAlignment="1">
      <alignment horizontal="left"/>
    </xf>
    <xf numFmtId="37" fontId="211" fillId="150" borderId="188" xfId="0" applyNumberFormat="1" applyFont="1" applyFill="1" applyBorder="1" applyAlignment="1">
      <alignment horizontal="center"/>
    </xf>
    <xf numFmtId="0" fontId="212" fillId="151" borderId="189" xfId="0" applyFont="1" applyFill="1" applyBorder="1" applyAlignment="1">
      <alignment horizontal="center" vertical="middle"/>
    </xf>
    <xf numFmtId="0" fontId="213" fillId="152" borderId="190" xfId="0" applyFont="1" applyFill="1" applyBorder="1" applyAlignment="1">
      <alignment horizontal="center" vertical="middle"/>
    </xf>
    <xf numFmtId="0" fontId="214" fillId="153" borderId="191" xfId="0" applyFont="1" applyFill="1" applyBorder="1"/>
    <xf numFmtId="37" fontId="215" fillId="154" borderId="192" xfId="0" applyNumberFormat="1" applyFont="1" applyFill="1" applyBorder="1" applyAlignment="1">
      <alignment horizontal="center"/>
    </xf>
    <xf numFmtId="0" fontId="216" fillId="155" borderId="193" xfId="0" applyFont="1" applyFill="1" applyBorder="1"/>
    <xf numFmtId="37" fontId="217" fillId="156" borderId="194" xfId="0" applyNumberFormat="1" applyFont="1" applyFill="1" applyBorder="1" applyAlignment="1">
      <alignment horizontal="center"/>
    </xf>
    <xf numFmtId="0" fontId="218" fillId="157" borderId="195" xfId="0" applyFont="1" applyFill="1" applyBorder="1"/>
    <xf numFmtId="37" fontId="219" fillId="158" borderId="196" xfId="0" applyNumberFormat="1" applyFont="1" applyFill="1" applyBorder="1" applyAlignment="1">
      <alignment horizontal="center"/>
    </xf>
    <xf numFmtId="0" fontId="220" fillId="159" borderId="197" xfId="0" applyFont="1" applyFill="1" applyBorder="1"/>
    <xf numFmtId="37" fontId="221" fillId="160" borderId="198" xfId="0" applyNumberFormat="1" applyFont="1" applyFill="1" applyBorder="1" applyAlignment="1">
      <alignment horizontal="center"/>
    </xf>
    <xf numFmtId="0" fontId="222" fillId="161" borderId="199" xfId="0" applyFont="1" applyFill="1" applyBorder="1"/>
    <xf numFmtId="37" fontId="223" fillId="162" borderId="200" xfId="0" applyNumberFormat="1" applyFont="1" applyFill="1" applyBorder="1" applyAlignment="1">
      <alignment horizontal="center"/>
    </xf>
    <xf numFmtId="0" fontId="224" fillId="163" borderId="201" xfId="0" applyFont="1" applyFill="1" applyBorder="1"/>
    <xf numFmtId="37" fontId="225" fillId="164" borderId="202" xfId="0" applyNumberFormat="1" applyFont="1" applyFill="1" applyBorder="1" applyAlignment="1">
      <alignment horizontal="center"/>
    </xf>
    <xf numFmtId="0" fontId="226" fillId="165" borderId="203" xfId="0" applyFont="1" applyFill="1" applyBorder="1"/>
    <xf numFmtId="37" fontId="227" fillId="166" borderId="204" xfId="0" applyNumberFormat="1" applyFont="1" applyFill="1" applyBorder="1" applyAlignment="1">
      <alignment horizontal="center"/>
    </xf>
    <xf numFmtId="0" fontId="228" fillId="167" borderId="205" xfId="0" applyFont="1" applyFill="1" applyBorder="1" applyAlignment="1">
      <alignment horizontal="center" vertical="middle"/>
    </xf>
    <xf numFmtId="0" fontId="229" fillId="168" borderId="206" xfId="0" applyFont="1" applyFill="1" applyBorder="1" applyAlignment="1">
      <alignment horizontal="center" vertical="middle"/>
    </xf>
    <xf numFmtId="0" fontId="230" fillId="169" borderId="207" xfId="0" applyFont="1" applyFill="1" applyBorder="1" applyAlignment="1">
      <alignment horizontal="center" vertical="center"/>
    </xf>
    <xf numFmtId="37" fontId="231" fillId="170" borderId="208" xfId="0" applyNumberFormat="1" applyFont="1" applyFill="1" applyBorder="1" applyAlignment="1">
      <alignment horizontal="center" vertical="center"/>
    </xf>
    <xf numFmtId="0" fontId="232" fillId="171" borderId="209" xfId="0" applyFont="1" applyFill="1" applyBorder="1" applyAlignment="1">
      <alignment horizontal="center" vertical="center"/>
    </xf>
    <xf numFmtId="37" fontId="233" fillId="172" borderId="210" xfId="0" applyNumberFormat="1" applyFont="1" applyFill="1" applyBorder="1" applyAlignment="1">
      <alignment horizontal="center" vertical="center"/>
    </xf>
    <xf numFmtId="0" fontId="234" fillId="173" borderId="211" xfId="0" applyFont="1" applyFill="1" applyBorder="1" applyAlignment="1">
      <alignment horizontal="center" vertical="center"/>
    </xf>
    <xf numFmtId="37" fontId="235" fillId="174" borderId="212" xfId="0" applyNumberFormat="1" applyFont="1" applyFill="1" applyBorder="1" applyAlignment="1">
      <alignment horizontal="center" vertical="center"/>
    </xf>
    <xf numFmtId="0" fontId="236" fillId="175" borderId="213" xfId="0" applyFont="1" applyFill="1" applyBorder="1"/>
    <xf numFmtId="1" fontId="237" fillId="176" borderId="214" xfId="0" applyNumberFormat="1" applyFont="1" applyFill="1" applyBorder="1"/>
    <xf numFmtId="1" fontId="238" fillId="177" borderId="215" xfId="0" applyNumberFormat="1" applyFont="1" applyFill="1" applyBorder="1"/>
    <xf numFmtId="2" fontId="239" fillId="178" borderId="216" xfId="0" applyNumberFormat="1" applyFont="1" applyFill="1" applyBorder="1"/>
    <xf numFmtId="0" fontId="240" fillId="179" borderId="217" xfId="0" applyFont="1" applyFill="1" applyBorder="1"/>
    <xf numFmtId="1" fontId="241" fillId="180" borderId="218" xfId="0" applyNumberFormat="1" applyFont="1" applyFill="1" applyBorder="1"/>
    <xf numFmtId="1" fontId="242" fillId="181" borderId="219" xfId="0" applyNumberFormat="1" applyFont="1" applyFill="1" applyBorder="1"/>
    <xf numFmtId="2" fontId="243" fillId="182" borderId="220" xfId="0" applyNumberFormat="1" applyFont="1" applyFill="1" applyBorder="1"/>
    <xf numFmtId="0" fontId="244" fillId="183" borderId="221" xfId="0" applyFont="1" applyFill="1" applyBorder="1"/>
    <xf numFmtId="1" fontId="245" fillId="184" borderId="222" xfId="0" applyNumberFormat="1" applyFont="1" applyFill="1" applyBorder="1"/>
    <xf numFmtId="1" fontId="246" fillId="185" borderId="223" xfId="0" applyNumberFormat="1" applyFont="1" applyFill="1" applyBorder="1"/>
    <xf numFmtId="2" fontId="247" fillId="186" borderId="224" xfId="0" applyNumberFormat="1" applyFont="1" applyFill="1" applyBorder="1"/>
    <xf numFmtId="0" fontId="248" fillId="187" borderId="225" xfId="0" applyFont="1" applyFill="1" applyBorder="1"/>
    <xf numFmtId="1" fontId="249" fillId="188" borderId="226" xfId="0" applyNumberFormat="1" applyFont="1" applyFill="1" applyBorder="1"/>
    <xf numFmtId="1" fontId="250" fillId="189" borderId="227" xfId="0" applyNumberFormat="1" applyFont="1" applyFill="1" applyBorder="1"/>
    <xf numFmtId="2" fontId="251" fillId="190" borderId="228" xfId="0" applyNumberFormat="1" applyFont="1" applyFill="1" applyBorder="1"/>
    <xf numFmtId="0" fontId="252" fillId="191" borderId="229" xfId="0" applyFont="1" applyFill="1" applyBorder="1"/>
    <xf numFmtId="1" fontId="253" fillId="192" borderId="230" xfId="0" applyNumberFormat="1" applyFont="1" applyFill="1" applyBorder="1"/>
    <xf numFmtId="1" fontId="254" fillId="193" borderId="231" xfId="0" applyNumberFormat="1" applyFont="1" applyFill="1" applyBorder="1"/>
    <xf numFmtId="2" fontId="255" fillId="194" borderId="232" xfId="0" applyNumberFormat="1" applyFont="1" applyFill="1" applyBorder="1"/>
    <xf numFmtId="0" fontId="256" fillId="195" borderId="233" xfId="0" applyFont="1" applyFill="1" applyBorder="1"/>
    <xf numFmtId="1" fontId="257" fillId="196" borderId="234" xfId="0" applyNumberFormat="1" applyFont="1" applyFill="1" applyBorder="1"/>
    <xf numFmtId="1" fontId="258" fillId="197" borderId="235" xfId="0" applyNumberFormat="1" applyFont="1" applyFill="1" applyBorder="1"/>
    <xf numFmtId="2" fontId="259" fillId="198" borderId="236" xfId="0" applyNumberFormat="1" applyFont="1" applyFill="1" applyBorder="1"/>
    <xf numFmtId="0" fontId="260" fillId="199" borderId="237" xfId="0" applyFont="1" applyFill="1" applyBorder="1"/>
    <xf numFmtId="1" fontId="261" fillId="200" borderId="238" xfId="0" applyNumberFormat="1" applyFont="1" applyFill="1" applyBorder="1"/>
    <xf numFmtId="1" fontId="262" fillId="201" borderId="239" xfId="0" applyNumberFormat="1" applyFont="1" applyFill="1" applyBorder="1"/>
    <xf numFmtId="2" fontId="263" fillId="202" borderId="240" xfId="0" applyNumberFormat="1" applyFont="1" applyFill="1" applyBorder="1"/>
    <xf numFmtId="0" fontId="264" fillId="203" borderId="241" xfId="0" applyFont="1" applyFill="1" applyBorder="1"/>
    <xf numFmtId="1" fontId="265" fillId="204" borderId="242" xfId="0" applyNumberFormat="1" applyFont="1" applyFill="1" applyBorder="1"/>
    <xf numFmtId="1" fontId="266" fillId="205" borderId="243" xfId="0" applyNumberFormat="1" applyFont="1" applyFill="1" applyBorder="1"/>
    <xf numFmtId="2" fontId="267" fillId="206" borderId="244" xfId="0" applyNumberFormat="1" applyFont="1" applyFill="1" applyBorder="1"/>
    <xf numFmtId="0" fontId="268" fillId="207" borderId="245" xfId="0" applyFont="1" applyFill="1" applyBorder="1"/>
    <xf numFmtId="1" fontId="269" fillId="208" borderId="246" xfId="0" applyNumberFormat="1" applyFont="1" applyFill="1" applyBorder="1"/>
    <xf numFmtId="1" fontId="270" fillId="209" borderId="247" xfId="0" applyNumberFormat="1" applyFont="1" applyFill="1" applyBorder="1"/>
    <xf numFmtId="2" fontId="271" fillId="210" borderId="248" xfId="0" applyNumberFormat="1" applyFont="1" applyFill="1" applyBorder="1"/>
  </cellXfs>
  <cellStyles count="7">
    <cellStyle name="Comma" xfId="4" builtinId="3"/>
    <cellStyle name="Comma 2" xfId="6" xr:uid="{7D79CA3D-FE66-439E-A44C-FB6A55E49594}"/>
    <cellStyle name="Normal" xfId="0" builtinId="0"/>
    <cellStyle name="Normal 2" xfId="1" xr:uid="{00000000-0005-0000-0000-000002000000}"/>
    <cellStyle name="Normal 3" xfId="3" xr:uid="{00000000-0005-0000-0000-000003000000}"/>
    <cellStyle name="Normal 4" xfId="5" xr:uid="{3C657443-50E6-47FD-A6B8-7C2ABF393C59}"/>
    <cellStyle name="Percent" xfId="2" builtinId="5"/>
  </cellStyles>
  <dxfs count="19">
    <dxf>
      <font>
        <strike val="0"/>
        <outline val="0"/>
        <shadow val="0"/>
        <u val="none"/>
        <vertAlign val="baseline"/>
        <sz val="10"/>
        <name val="Toyota type light"/>
        <scheme val="none"/>
      </font>
      <numFmt numFmtId="169" formatCode="_ * #,##0_ ;_ * \-#,##0_ ;_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oyota type ligh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oyota type light"/>
        <scheme val="none"/>
      </font>
      <numFmt numFmtId="169" formatCode="_ * #,##0_ ;_ * \-#,##0_ ;_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oyota type ligh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oyota type light"/>
        <scheme val="none"/>
      </font>
      <numFmt numFmtId="26" formatCode="hh:mm:ss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oyota type ligh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oyota type light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oyota type ligh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oyota type ligh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oyota type light"/>
        <scheme val="none"/>
      </font>
      <numFmt numFmtId="169" formatCode="_ * #,##0_ ;_ * \-#,##0_ ;_ * &quot;-&quot;??_ ;_ @_ 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oyota type ligh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oyota type light"/>
        <scheme val="none"/>
      </font>
      <numFmt numFmtId="169" formatCode="_ * #,##0_ ;_ * \-#,##0_ ;_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oyota type ligh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oyota type light"/>
        <scheme val="none"/>
      </font>
      <numFmt numFmtId="26" formatCode="hh:mm:ss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oyota type ligh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oyota type ligh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oyota type light"/>
        <scheme val="none"/>
      </font>
    </dxf>
    <dxf>
      <font>
        <strike val="0"/>
        <outline val="0"/>
        <shadow val="0"/>
        <u val="none"/>
        <vertAlign val="baseline"/>
        <sz val="10"/>
        <name val="Toyota type light"/>
        <scheme val="none"/>
      </font>
    </dxf>
    <dxf>
      <font>
        <strike val="0"/>
        <outline val="0"/>
        <shadow val="0"/>
        <u val="none"/>
        <vertAlign val="baseline"/>
        <sz val="10"/>
        <name val="Toyota type light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3014553014553017E-2"/>
          <c:y val="0.13664628877912507"/>
          <c:w val="0.92619542619544148"/>
          <c:h val="0.38819934643000659"/>
        </c:manualLayout>
      </c:layout>
      <c:lineChart>
        <c:grouping val="standard"/>
        <c:varyColors val="0"/>
        <c:ser>
          <c:idx val="0"/>
          <c:order val="0"/>
          <c:tx>
            <c:strRef>
              <c:f>'Site - Month Graph'!$D$3</c:f>
              <c:strCache>
                <c:ptCount val="1"/>
                <c:pt idx="0">
                  <c:v>Page Views(Overall)</c:v>
                </c:pt>
              </c:strCache>
            </c:strRef>
          </c:tx>
          <c:spPr>
            <a:ln w="25400">
              <a:solidFill>
                <a:srgbClr val="0066CC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c:spPr>
          </c:marker>
          <c:dLbls>
            <c:dLbl>
              <c:idx val="30"/>
              <c:numFmt formatCode="[&gt;=10000000]##\,##\,##\,##0;[&gt;=100000]\ ##\,##\,##0;##,##0" sourceLinked="0"/>
              <c:spPr>
                <a:solidFill>
                  <a:srgbClr val="9999FF"/>
                </a:solidFill>
                <a:ln w="3175">
                  <a:solidFill>
                    <a:srgbClr val="000000"/>
                  </a:solidFill>
                  <a:prstDash val="sysDash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n-IN" sz="525" b="0" i="0" u="none" strike="noStrike" baseline="0">
                      <a:solidFill>
                        <a:srgbClr val="000000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70EE-4DFE-8DB2-032C9843EDE8}"/>
                </c:ext>
              </c:extLst>
            </c:dLbl>
            <c:numFmt formatCode="[&gt;=10000000]##\,##\,##\,##0;[&gt;=100000]\ ##\,##\,##0;##,##0" sourceLinked="0"/>
            <c:spPr>
              <a:solidFill>
                <a:srgbClr val="9999FF"/>
              </a:solidFill>
              <a:ln w="3175">
                <a:solidFill>
                  <a:srgbClr val="000000"/>
                </a:solidFill>
                <a:prstDash val="sysDash"/>
              </a:ln>
              <a:effectLst>
                <a:outerShdw dist="35921" dir="2700000" algn="br">
                  <a:srgbClr val="000000"/>
                </a:outerShdw>
              </a:effectLst>
            </c:spPr>
            <c:txPr>
              <a:bodyPr/>
              <a:lstStyle/>
              <a:p>
                <a:pPr>
                  <a:defRPr lang="en-IN" sz="675" b="0" i="0" u="none" strike="noStrike" baseline="0">
                    <a:solidFill>
                      <a:srgbClr val="000000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'Site - Month Graph'!$C$4:$C$34</c:f>
              <c:strCache>
                <c:ptCount val="30"/>
                <c:pt idx="0">
                  <c:v>01-09-2025</c:v>
                </c:pt>
                <c:pt idx="1">
                  <c:v>02-09-2025</c:v>
                </c:pt>
                <c:pt idx="2">
                  <c:v>03-09-2025</c:v>
                </c:pt>
                <c:pt idx="3">
                  <c:v>04-09-2025</c:v>
                </c:pt>
                <c:pt idx="4">
                  <c:v>05-09-2025</c:v>
                </c:pt>
                <c:pt idx="5">
                  <c:v>06-09-2025</c:v>
                </c:pt>
                <c:pt idx="6">
                  <c:v>07-09-2025</c:v>
                </c:pt>
                <c:pt idx="7">
                  <c:v>08-09-2025</c:v>
                </c:pt>
                <c:pt idx="8">
                  <c:v>09-09-2025</c:v>
                </c:pt>
                <c:pt idx="9">
                  <c:v>10-09-2025</c:v>
                </c:pt>
                <c:pt idx="10">
                  <c:v>11-09-2025</c:v>
                </c:pt>
                <c:pt idx="11">
                  <c:v>12-09-2025</c:v>
                </c:pt>
                <c:pt idx="12">
                  <c:v>13-09-2025</c:v>
                </c:pt>
                <c:pt idx="13">
                  <c:v>14-09-2025</c:v>
                </c:pt>
                <c:pt idx="14">
                  <c:v>15-09-2025</c:v>
                </c:pt>
                <c:pt idx="15">
                  <c:v>16-09-2025</c:v>
                </c:pt>
                <c:pt idx="16">
                  <c:v>17-09-2025</c:v>
                </c:pt>
                <c:pt idx="17">
                  <c:v>18-09-2025</c:v>
                </c:pt>
                <c:pt idx="18">
                  <c:v>19-09-2025</c:v>
                </c:pt>
                <c:pt idx="19">
                  <c:v>20-09-2025</c:v>
                </c:pt>
                <c:pt idx="20">
                  <c:v>21-09-2025</c:v>
                </c:pt>
                <c:pt idx="21">
                  <c:v>22-09-2025</c:v>
                </c:pt>
                <c:pt idx="22">
                  <c:v>23-09-2025</c:v>
                </c:pt>
                <c:pt idx="23">
                  <c:v>24-09-2025</c:v>
                </c:pt>
                <c:pt idx="24">
                  <c:v>25-09-2025</c:v>
                </c:pt>
                <c:pt idx="25">
                  <c:v>26-09-2025</c:v>
                </c:pt>
                <c:pt idx="26">
                  <c:v>27-09-2025</c:v>
                </c:pt>
                <c:pt idx="27">
                  <c:v>28-09-2025</c:v>
                </c:pt>
                <c:pt idx="28">
                  <c:v>29-09-2025</c:v>
                </c:pt>
                <c:pt idx="29">
                  <c:v>30-09-2025</c:v>
                </c:pt>
              </c:strCache>
            </c:strRef>
          </c:cat>
          <c:val>
            <c:numRef>
              <c:f>'Site - Month Graph'!$D$4:$D$34</c:f>
              <c:numCache>
                <c:formatCode>General</c:formatCode>
                <c:ptCount val="31"/>
                <c:pt idx="0">
                  <c:v>110839</c:v>
                </c:pt>
                <c:pt idx="1">
                  <c:v>120577</c:v>
                </c:pt>
                <c:pt idx="2">
                  <c:v>114759</c:v>
                </c:pt>
                <c:pt idx="3">
                  <c:v>126382</c:v>
                </c:pt>
                <c:pt idx="4">
                  <c:v>129260</c:v>
                </c:pt>
                <c:pt idx="5">
                  <c:v>131667</c:v>
                </c:pt>
                <c:pt idx="6">
                  <c:v>153133</c:v>
                </c:pt>
                <c:pt idx="7">
                  <c:v>156071</c:v>
                </c:pt>
                <c:pt idx="8">
                  <c:v>146478</c:v>
                </c:pt>
                <c:pt idx="9">
                  <c:v>137645</c:v>
                </c:pt>
                <c:pt idx="10">
                  <c:v>140251</c:v>
                </c:pt>
                <c:pt idx="11">
                  <c:v>151038</c:v>
                </c:pt>
                <c:pt idx="12">
                  <c:v>140866</c:v>
                </c:pt>
                <c:pt idx="13">
                  <c:v>138209</c:v>
                </c:pt>
                <c:pt idx="14">
                  <c:v>136225</c:v>
                </c:pt>
                <c:pt idx="15">
                  <c:v>133496</c:v>
                </c:pt>
                <c:pt idx="16">
                  <c:v>212976</c:v>
                </c:pt>
                <c:pt idx="17">
                  <c:v>128848</c:v>
                </c:pt>
                <c:pt idx="18">
                  <c:v>107575</c:v>
                </c:pt>
                <c:pt idx="19">
                  <c:v>117659</c:v>
                </c:pt>
                <c:pt idx="20">
                  <c:v>117417</c:v>
                </c:pt>
                <c:pt idx="21">
                  <c:v>141233</c:v>
                </c:pt>
                <c:pt idx="22">
                  <c:v>126353</c:v>
                </c:pt>
                <c:pt idx="23">
                  <c:v>124011</c:v>
                </c:pt>
                <c:pt idx="24">
                  <c:v>127161</c:v>
                </c:pt>
                <c:pt idx="25">
                  <c:v>121086</c:v>
                </c:pt>
                <c:pt idx="26">
                  <c:v>132583</c:v>
                </c:pt>
                <c:pt idx="27">
                  <c:v>118968</c:v>
                </c:pt>
                <c:pt idx="28">
                  <c:v>135221</c:v>
                </c:pt>
                <c:pt idx="29">
                  <c:v>131040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1AB-4AF0-9D2E-9C08F3319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3175">
              <a:solidFill>
                <a:srgbClr val="000000"/>
              </a:solidFill>
              <a:prstDash val="sysDash"/>
            </a:ln>
          </c:spPr>
        </c:dropLines>
        <c:marker val="1"/>
        <c:smooth val="0"/>
        <c:axId val="373079808"/>
        <c:axId val="373081376"/>
      </c:lineChart>
      <c:dateAx>
        <c:axId val="373079808"/>
        <c:scaling>
          <c:orientation val="minMax"/>
        </c:scaling>
        <c:delete val="0"/>
        <c:axPos val="b"/>
        <c:numFmt formatCode="mmm\,\ dd\ d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lang="en-IN" sz="800" b="0" i="0" u="none" strike="noStrike" baseline="0">
                <a:solidFill>
                  <a:srgbClr val="000000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373081376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3730813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IN" sz="875" b="0" i="0" u="none" strike="noStrike" baseline="0">
                <a:solidFill>
                  <a:srgbClr val="000000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37307980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99" r="0.75000000000001199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4.9556154451822196E-2"/>
          <c:y val="6.6753567568759803E-2"/>
          <c:w val="0.92578539680651861"/>
          <c:h val="0.57986307733520004"/>
        </c:manualLayout>
      </c:layout>
      <c:lineChart>
        <c:grouping val="standard"/>
        <c:varyColors val="0"/>
        <c:ser>
          <c:idx val="0"/>
          <c:order val="0"/>
          <c:tx>
            <c:strRef>
              <c:f>'Site - Month Graph'!$E$44</c:f>
              <c:strCache>
                <c:ptCount val="1"/>
                <c:pt idx="0">
                  <c:v>Unique Visit(Mobile)</c:v>
                </c:pt>
              </c:strCache>
            </c:strRef>
          </c:tx>
          <c:spPr>
            <a:ln w="25400">
              <a:solidFill>
                <a:srgbClr val="333399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c:spPr>
          </c:marker>
          <c:dLbls>
            <c:numFmt formatCode="[&gt;=10000000]##\,##\,##\,##0;[&gt;=100000]\ ##\,##\,##0;##,##0" sourceLinked="0"/>
            <c:spPr>
              <a:solidFill>
                <a:srgbClr val="9999FF"/>
              </a:solidFill>
              <a:ln w="3175">
                <a:solidFill>
                  <a:srgbClr val="000000"/>
                </a:solidFill>
                <a:prstDash val="sysDash"/>
              </a:ln>
              <a:effectLst>
                <a:outerShdw dist="35921" dir="2700000" algn="br">
                  <a:srgbClr val="000000"/>
                </a:outerShdw>
              </a:effectLst>
            </c:spPr>
            <c:txPr>
              <a:bodyPr/>
              <a:lstStyle/>
              <a:p>
                <a:pPr>
                  <a:defRPr lang="en-IN" sz="700" b="0" i="0" u="none" strike="noStrike" baseline="0">
                    <a:solidFill>
                      <a:srgbClr val="000000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'Site - Month Graph'!$C$45:$C$75</c:f>
              <c:strCache>
                <c:ptCount val="30"/>
                <c:pt idx="0">
                  <c:v>01-09-2025</c:v>
                </c:pt>
                <c:pt idx="1">
                  <c:v>02-09-2025</c:v>
                </c:pt>
                <c:pt idx="2">
                  <c:v>03-09-2025</c:v>
                </c:pt>
                <c:pt idx="3">
                  <c:v>04-09-2025</c:v>
                </c:pt>
                <c:pt idx="4">
                  <c:v>05-09-2025</c:v>
                </c:pt>
                <c:pt idx="5">
                  <c:v>06-09-2025</c:v>
                </c:pt>
                <c:pt idx="6">
                  <c:v>07-09-2025</c:v>
                </c:pt>
                <c:pt idx="7">
                  <c:v>08-09-2025</c:v>
                </c:pt>
                <c:pt idx="8">
                  <c:v>09-09-2025</c:v>
                </c:pt>
                <c:pt idx="9">
                  <c:v>10-09-2025</c:v>
                </c:pt>
                <c:pt idx="10">
                  <c:v>11-09-2025</c:v>
                </c:pt>
                <c:pt idx="11">
                  <c:v>12-09-2025</c:v>
                </c:pt>
                <c:pt idx="12">
                  <c:v>13-09-2025</c:v>
                </c:pt>
                <c:pt idx="13">
                  <c:v>14-09-2025</c:v>
                </c:pt>
                <c:pt idx="14">
                  <c:v>15-09-2025</c:v>
                </c:pt>
                <c:pt idx="15">
                  <c:v>16-09-2025</c:v>
                </c:pt>
                <c:pt idx="16">
                  <c:v>17-09-2025</c:v>
                </c:pt>
                <c:pt idx="17">
                  <c:v>18-09-2025</c:v>
                </c:pt>
                <c:pt idx="18">
                  <c:v>19-09-2025</c:v>
                </c:pt>
                <c:pt idx="19">
                  <c:v>20-09-2025</c:v>
                </c:pt>
                <c:pt idx="20">
                  <c:v>21-09-2025</c:v>
                </c:pt>
                <c:pt idx="21">
                  <c:v>22-09-2025</c:v>
                </c:pt>
                <c:pt idx="22">
                  <c:v>23-09-2025</c:v>
                </c:pt>
                <c:pt idx="23">
                  <c:v>24-09-2025</c:v>
                </c:pt>
                <c:pt idx="24">
                  <c:v>25-09-2025</c:v>
                </c:pt>
                <c:pt idx="25">
                  <c:v>26-09-2025</c:v>
                </c:pt>
                <c:pt idx="26">
                  <c:v>27-09-2025</c:v>
                </c:pt>
                <c:pt idx="27">
                  <c:v>28-09-2025</c:v>
                </c:pt>
                <c:pt idx="28">
                  <c:v>29-09-2025</c:v>
                </c:pt>
                <c:pt idx="29">
                  <c:v>30-09-2025</c:v>
                </c:pt>
              </c:strCache>
            </c:strRef>
          </c:cat>
          <c:val>
            <c:numRef>
              <c:f>'Site - Month Graph'!$E$45:$E$75</c:f>
              <c:numCache>
                <c:formatCode>General</c:formatCode>
                <c:ptCount val="31"/>
                <c:pt idx="0">
                  <c:v>42002</c:v>
                </c:pt>
                <c:pt idx="1">
                  <c:v>46104</c:v>
                </c:pt>
                <c:pt idx="2">
                  <c:v>44126</c:v>
                </c:pt>
                <c:pt idx="3">
                  <c:v>46671</c:v>
                </c:pt>
                <c:pt idx="4">
                  <c:v>49425</c:v>
                </c:pt>
                <c:pt idx="5">
                  <c:v>50055</c:v>
                </c:pt>
                <c:pt idx="6">
                  <c:v>58644</c:v>
                </c:pt>
                <c:pt idx="7">
                  <c:v>57274</c:v>
                </c:pt>
                <c:pt idx="8">
                  <c:v>52931</c:v>
                </c:pt>
                <c:pt idx="9">
                  <c:v>52354</c:v>
                </c:pt>
                <c:pt idx="10">
                  <c:v>50359</c:v>
                </c:pt>
                <c:pt idx="11">
                  <c:v>64250</c:v>
                </c:pt>
                <c:pt idx="12">
                  <c:v>53271</c:v>
                </c:pt>
                <c:pt idx="13">
                  <c:v>55732</c:v>
                </c:pt>
                <c:pt idx="14">
                  <c:v>53598</c:v>
                </c:pt>
                <c:pt idx="15">
                  <c:v>53701</c:v>
                </c:pt>
                <c:pt idx="16">
                  <c:v>89751</c:v>
                </c:pt>
                <c:pt idx="17">
                  <c:v>45525</c:v>
                </c:pt>
                <c:pt idx="18">
                  <c:v>35597</c:v>
                </c:pt>
                <c:pt idx="19">
                  <c:v>41629</c:v>
                </c:pt>
                <c:pt idx="20">
                  <c:v>41722</c:v>
                </c:pt>
                <c:pt idx="21">
                  <c:v>39483</c:v>
                </c:pt>
                <c:pt idx="22">
                  <c:v>36748</c:v>
                </c:pt>
                <c:pt idx="23">
                  <c:v>38476</c:v>
                </c:pt>
                <c:pt idx="24">
                  <c:v>39945</c:v>
                </c:pt>
                <c:pt idx="25">
                  <c:v>38067</c:v>
                </c:pt>
                <c:pt idx="26">
                  <c:v>44629</c:v>
                </c:pt>
                <c:pt idx="27">
                  <c:v>38772</c:v>
                </c:pt>
                <c:pt idx="28">
                  <c:v>48087</c:v>
                </c:pt>
                <c:pt idx="29">
                  <c:v>43125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C57-449A-984C-49C991574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3175">
              <a:solidFill>
                <a:srgbClr val="000000"/>
              </a:solidFill>
              <a:prstDash val="sysDash"/>
            </a:ln>
          </c:spPr>
        </c:dropLines>
        <c:marker val="1"/>
        <c:smooth val="0"/>
        <c:axId val="450090952"/>
        <c:axId val="450091344"/>
      </c:lineChart>
      <c:dateAx>
        <c:axId val="450090952"/>
        <c:scaling>
          <c:orientation val="minMax"/>
        </c:scaling>
        <c:delete val="0"/>
        <c:axPos val="b"/>
        <c:numFmt formatCode="mmm\,\ dd\ d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lang="en-IN" sz="800" b="0" i="0" u="none" strike="noStrike" baseline="0">
                <a:solidFill>
                  <a:srgbClr val="000000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450091344"/>
        <c:crossesAt val="0"/>
        <c:auto val="1"/>
        <c:lblOffset val="100"/>
        <c:baseTimeUnit val="days"/>
        <c:majorUnit val="2"/>
        <c:majorTimeUnit val="days"/>
        <c:minorUnit val="1"/>
        <c:minorTimeUnit val="days"/>
      </c:dateAx>
      <c:valAx>
        <c:axId val="4500913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IN" sz="800" b="0" i="0" u="none" strike="noStrike" baseline="0">
                <a:solidFill>
                  <a:srgbClr val="000000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45009095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99" r="0.75000000000001199" t="1" header="0.5" footer="0.5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099426507599491E-2"/>
          <c:y val="8.9388705444077551E-2"/>
          <c:w val="0.92578539680651861"/>
          <c:h val="0.57986307733520004"/>
        </c:manualLayout>
      </c:layout>
      <c:lineChart>
        <c:grouping val="standard"/>
        <c:varyColors val="0"/>
        <c:ser>
          <c:idx val="0"/>
          <c:order val="0"/>
          <c:tx>
            <c:strRef>
              <c:f>'Site - Month Graph'!$D$44</c:f>
              <c:strCache>
                <c:ptCount val="1"/>
                <c:pt idx="0">
                  <c:v>Unique Visit(Overall)</c:v>
                </c:pt>
              </c:strCache>
            </c:strRef>
          </c:tx>
          <c:spPr>
            <a:ln w="25400">
              <a:solidFill>
                <a:srgbClr val="333399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c:spPr>
          </c:marker>
          <c:dLbls>
            <c:numFmt formatCode="[&gt;=10000000]##\,##\,##\,##0;[&gt;=100000]\ ##\,##\,##0;##,##0" sourceLinked="0"/>
            <c:spPr>
              <a:solidFill>
                <a:srgbClr val="9999FF"/>
              </a:solidFill>
              <a:ln w="3175">
                <a:solidFill>
                  <a:srgbClr val="000000"/>
                </a:solidFill>
                <a:prstDash val="sysDash"/>
              </a:ln>
              <a:effectLst>
                <a:outerShdw dist="35921" dir="2700000" algn="br">
                  <a:srgbClr val="000000"/>
                </a:outerShdw>
              </a:effectLst>
            </c:spPr>
            <c:txPr>
              <a:bodyPr/>
              <a:lstStyle/>
              <a:p>
                <a:pPr>
                  <a:defRPr lang="en-IN" sz="700" b="0" i="0" u="none" strike="noStrike" baseline="0">
                    <a:solidFill>
                      <a:srgbClr val="000000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'Site - Month Graph'!$C$45:$C$75</c:f>
              <c:strCache>
                <c:ptCount val="30"/>
                <c:pt idx="0">
                  <c:v>01-09-2025</c:v>
                </c:pt>
                <c:pt idx="1">
                  <c:v>02-09-2025</c:v>
                </c:pt>
                <c:pt idx="2">
                  <c:v>03-09-2025</c:v>
                </c:pt>
                <c:pt idx="3">
                  <c:v>04-09-2025</c:v>
                </c:pt>
                <c:pt idx="4">
                  <c:v>05-09-2025</c:v>
                </c:pt>
                <c:pt idx="5">
                  <c:v>06-09-2025</c:v>
                </c:pt>
                <c:pt idx="6">
                  <c:v>07-09-2025</c:v>
                </c:pt>
                <c:pt idx="7">
                  <c:v>08-09-2025</c:v>
                </c:pt>
                <c:pt idx="8">
                  <c:v>09-09-2025</c:v>
                </c:pt>
                <c:pt idx="9">
                  <c:v>10-09-2025</c:v>
                </c:pt>
                <c:pt idx="10">
                  <c:v>11-09-2025</c:v>
                </c:pt>
                <c:pt idx="11">
                  <c:v>12-09-2025</c:v>
                </c:pt>
                <c:pt idx="12">
                  <c:v>13-09-2025</c:v>
                </c:pt>
                <c:pt idx="13">
                  <c:v>14-09-2025</c:v>
                </c:pt>
                <c:pt idx="14">
                  <c:v>15-09-2025</c:v>
                </c:pt>
                <c:pt idx="15">
                  <c:v>16-09-2025</c:v>
                </c:pt>
                <c:pt idx="16">
                  <c:v>17-09-2025</c:v>
                </c:pt>
                <c:pt idx="17">
                  <c:v>18-09-2025</c:v>
                </c:pt>
                <c:pt idx="18">
                  <c:v>19-09-2025</c:v>
                </c:pt>
                <c:pt idx="19">
                  <c:v>20-09-2025</c:v>
                </c:pt>
                <c:pt idx="20">
                  <c:v>21-09-2025</c:v>
                </c:pt>
                <c:pt idx="21">
                  <c:v>22-09-2025</c:v>
                </c:pt>
                <c:pt idx="22">
                  <c:v>23-09-2025</c:v>
                </c:pt>
                <c:pt idx="23">
                  <c:v>24-09-2025</c:v>
                </c:pt>
                <c:pt idx="24">
                  <c:v>25-09-2025</c:v>
                </c:pt>
                <c:pt idx="25">
                  <c:v>26-09-2025</c:v>
                </c:pt>
                <c:pt idx="26">
                  <c:v>27-09-2025</c:v>
                </c:pt>
                <c:pt idx="27">
                  <c:v>28-09-2025</c:v>
                </c:pt>
                <c:pt idx="28">
                  <c:v>29-09-2025</c:v>
                </c:pt>
                <c:pt idx="29">
                  <c:v>30-09-2025</c:v>
                </c:pt>
              </c:strCache>
            </c:strRef>
          </c:cat>
          <c:val>
            <c:numRef>
              <c:f>'Site - Month Graph'!$D$45:$D$75</c:f>
              <c:numCache>
                <c:formatCode>General</c:formatCode>
                <c:ptCount val="31"/>
                <c:pt idx="0">
                  <c:v>47395</c:v>
                </c:pt>
                <c:pt idx="1">
                  <c:v>51811</c:v>
                </c:pt>
                <c:pt idx="2">
                  <c:v>49820</c:v>
                </c:pt>
                <c:pt idx="3">
                  <c:v>53499</c:v>
                </c:pt>
                <c:pt idx="4">
                  <c:v>55496</c:v>
                </c:pt>
                <c:pt idx="5">
                  <c:v>55682</c:v>
                </c:pt>
                <c:pt idx="6">
                  <c:v>64036</c:v>
                </c:pt>
                <c:pt idx="7">
                  <c:v>65331</c:v>
                </c:pt>
                <c:pt idx="8">
                  <c:v>60590</c:v>
                </c:pt>
                <c:pt idx="9">
                  <c:v>59087</c:v>
                </c:pt>
                <c:pt idx="10">
                  <c:v>57076</c:v>
                </c:pt>
                <c:pt idx="11">
                  <c:v>71168</c:v>
                </c:pt>
                <c:pt idx="12">
                  <c:v>58796</c:v>
                </c:pt>
                <c:pt idx="13">
                  <c:v>60318</c:v>
                </c:pt>
                <c:pt idx="14">
                  <c:v>60388</c:v>
                </c:pt>
                <c:pt idx="15">
                  <c:v>60338</c:v>
                </c:pt>
                <c:pt idx="16">
                  <c:v>96430</c:v>
                </c:pt>
                <c:pt idx="17">
                  <c:v>52120</c:v>
                </c:pt>
                <c:pt idx="18">
                  <c:v>41333</c:v>
                </c:pt>
                <c:pt idx="19">
                  <c:v>46701</c:v>
                </c:pt>
                <c:pt idx="20">
                  <c:v>45852</c:v>
                </c:pt>
                <c:pt idx="21">
                  <c:v>47017</c:v>
                </c:pt>
                <c:pt idx="22">
                  <c:v>44087</c:v>
                </c:pt>
                <c:pt idx="23">
                  <c:v>45779</c:v>
                </c:pt>
                <c:pt idx="24">
                  <c:v>48393</c:v>
                </c:pt>
                <c:pt idx="25">
                  <c:v>46572</c:v>
                </c:pt>
                <c:pt idx="26">
                  <c:v>51585</c:v>
                </c:pt>
                <c:pt idx="27">
                  <c:v>45258</c:v>
                </c:pt>
                <c:pt idx="28">
                  <c:v>56181</c:v>
                </c:pt>
                <c:pt idx="29">
                  <c:v>51764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144-47A9-908A-0557354E2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3175">
              <a:solidFill>
                <a:srgbClr val="000000"/>
              </a:solidFill>
              <a:prstDash val="sysDash"/>
            </a:ln>
          </c:spPr>
        </c:dropLines>
        <c:marker val="1"/>
        <c:smooth val="0"/>
        <c:axId val="450090952"/>
        <c:axId val="450091344"/>
      </c:lineChart>
      <c:dateAx>
        <c:axId val="450090952"/>
        <c:scaling>
          <c:orientation val="minMax"/>
        </c:scaling>
        <c:delete val="0"/>
        <c:axPos val="b"/>
        <c:numFmt formatCode="mmm\,\ dd\ d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lang="en-IN" sz="800" b="0" i="0" u="none" strike="noStrike" baseline="0">
                <a:solidFill>
                  <a:srgbClr val="000000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450091344"/>
        <c:crossesAt val="0"/>
        <c:auto val="1"/>
        <c:lblOffset val="100"/>
        <c:baseTimeUnit val="days"/>
        <c:majorUnit val="2"/>
        <c:majorTimeUnit val="days"/>
        <c:minorUnit val="1"/>
        <c:minorTimeUnit val="days"/>
      </c:dateAx>
      <c:valAx>
        <c:axId val="4500913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IN" sz="800" b="0" i="0" u="none" strike="noStrike" baseline="0">
                <a:solidFill>
                  <a:srgbClr val="000000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45009095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99" r="0.75000000000001199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270533574607523E-2"/>
          <c:y val="0.11090627185115375"/>
          <c:w val="0.92619542619544148"/>
          <c:h val="0.38819934643000659"/>
        </c:manualLayout>
      </c:layout>
      <c:lineChart>
        <c:grouping val="standard"/>
        <c:varyColors val="0"/>
        <c:ser>
          <c:idx val="0"/>
          <c:order val="0"/>
          <c:tx>
            <c:strRef>
              <c:f>'Site - Month Graph'!$E$3</c:f>
              <c:strCache>
                <c:ptCount val="1"/>
                <c:pt idx="0">
                  <c:v>Page Views(Mobile)</c:v>
                </c:pt>
              </c:strCache>
            </c:strRef>
          </c:tx>
          <c:spPr>
            <a:ln w="25400">
              <a:solidFill>
                <a:srgbClr val="0066CC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c:spPr>
          </c:marker>
          <c:dLbls>
            <c:dLbl>
              <c:idx val="30"/>
              <c:numFmt formatCode="[&gt;=10000000]##\,##\,##\,##0;[&gt;=100000]\ ##\,##\,##0;##,##0" sourceLinked="0"/>
              <c:spPr>
                <a:solidFill>
                  <a:srgbClr val="9999FF"/>
                </a:solidFill>
                <a:ln w="3175">
                  <a:solidFill>
                    <a:srgbClr val="000000"/>
                  </a:solidFill>
                  <a:prstDash val="sysDash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n-IN" sz="525" b="0" i="0" u="none" strike="noStrike" baseline="0">
                      <a:solidFill>
                        <a:srgbClr val="000000"/>
                      </a:solidFill>
                      <a:latin typeface="Trebuchet MS"/>
                      <a:ea typeface="Trebuchet MS"/>
                      <a:cs typeface="Trebuchet M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3BD4-46BB-BFF7-D8DA4A20A07C}"/>
                </c:ext>
              </c:extLst>
            </c:dLbl>
            <c:numFmt formatCode="[&gt;=10000000]##\,##\,##\,##0;[&gt;=100000]\ ##\,##\,##0;##,##0" sourceLinked="0"/>
            <c:spPr>
              <a:solidFill>
                <a:srgbClr val="9999FF"/>
              </a:solidFill>
              <a:ln w="3175">
                <a:solidFill>
                  <a:srgbClr val="000000"/>
                </a:solidFill>
                <a:prstDash val="sysDash"/>
              </a:ln>
              <a:effectLst>
                <a:outerShdw dist="35921" dir="2700000" algn="br">
                  <a:srgbClr val="000000"/>
                </a:outerShdw>
              </a:effectLst>
            </c:spPr>
            <c:txPr>
              <a:bodyPr/>
              <a:lstStyle/>
              <a:p>
                <a:pPr>
                  <a:defRPr lang="en-IN" sz="675" b="0" i="0" u="none" strike="noStrike" baseline="0">
                    <a:solidFill>
                      <a:srgbClr val="000000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'Site - Month Graph'!$C$4:$C$34</c:f>
              <c:strCache>
                <c:ptCount val="30"/>
                <c:pt idx="0">
                  <c:v>01-09-2025</c:v>
                </c:pt>
                <c:pt idx="1">
                  <c:v>02-09-2025</c:v>
                </c:pt>
                <c:pt idx="2">
                  <c:v>03-09-2025</c:v>
                </c:pt>
                <c:pt idx="3">
                  <c:v>04-09-2025</c:v>
                </c:pt>
                <c:pt idx="4">
                  <c:v>05-09-2025</c:v>
                </c:pt>
                <c:pt idx="5">
                  <c:v>06-09-2025</c:v>
                </c:pt>
                <c:pt idx="6">
                  <c:v>07-09-2025</c:v>
                </c:pt>
                <c:pt idx="7">
                  <c:v>08-09-2025</c:v>
                </c:pt>
                <c:pt idx="8">
                  <c:v>09-09-2025</c:v>
                </c:pt>
                <c:pt idx="9">
                  <c:v>10-09-2025</c:v>
                </c:pt>
                <c:pt idx="10">
                  <c:v>11-09-2025</c:v>
                </c:pt>
                <c:pt idx="11">
                  <c:v>12-09-2025</c:v>
                </c:pt>
                <c:pt idx="12">
                  <c:v>13-09-2025</c:v>
                </c:pt>
                <c:pt idx="13">
                  <c:v>14-09-2025</c:v>
                </c:pt>
                <c:pt idx="14">
                  <c:v>15-09-2025</c:v>
                </c:pt>
                <c:pt idx="15">
                  <c:v>16-09-2025</c:v>
                </c:pt>
                <c:pt idx="16">
                  <c:v>17-09-2025</c:v>
                </c:pt>
                <c:pt idx="17">
                  <c:v>18-09-2025</c:v>
                </c:pt>
                <c:pt idx="18">
                  <c:v>19-09-2025</c:v>
                </c:pt>
                <c:pt idx="19">
                  <c:v>20-09-2025</c:v>
                </c:pt>
                <c:pt idx="20">
                  <c:v>21-09-2025</c:v>
                </c:pt>
                <c:pt idx="21">
                  <c:v>22-09-2025</c:v>
                </c:pt>
                <c:pt idx="22">
                  <c:v>23-09-2025</c:v>
                </c:pt>
                <c:pt idx="23">
                  <c:v>24-09-2025</c:v>
                </c:pt>
                <c:pt idx="24">
                  <c:v>25-09-2025</c:v>
                </c:pt>
                <c:pt idx="25">
                  <c:v>26-09-2025</c:v>
                </c:pt>
                <c:pt idx="26">
                  <c:v>27-09-2025</c:v>
                </c:pt>
                <c:pt idx="27">
                  <c:v>28-09-2025</c:v>
                </c:pt>
                <c:pt idx="28">
                  <c:v>29-09-2025</c:v>
                </c:pt>
                <c:pt idx="29">
                  <c:v>30-09-2025</c:v>
                </c:pt>
              </c:strCache>
            </c:strRef>
          </c:cat>
          <c:val>
            <c:numRef>
              <c:f>'Site - Month Graph'!$E$4:$E$34</c:f>
              <c:numCache>
                <c:formatCode>General</c:formatCode>
                <c:ptCount val="31"/>
                <c:pt idx="0">
                  <c:v>86864</c:v>
                </c:pt>
                <c:pt idx="1">
                  <c:v>95940</c:v>
                </c:pt>
                <c:pt idx="2">
                  <c:v>90251</c:v>
                </c:pt>
                <c:pt idx="3">
                  <c:v>98060</c:v>
                </c:pt>
                <c:pt idx="4">
                  <c:v>102956</c:v>
                </c:pt>
                <c:pt idx="5">
                  <c:v>106961</c:v>
                </c:pt>
                <c:pt idx="6">
                  <c:v>128755</c:v>
                </c:pt>
                <c:pt idx="7">
                  <c:v>121900</c:v>
                </c:pt>
                <c:pt idx="8">
                  <c:v>114415</c:v>
                </c:pt>
                <c:pt idx="9">
                  <c:v>109627</c:v>
                </c:pt>
                <c:pt idx="10">
                  <c:v>103893</c:v>
                </c:pt>
                <c:pt idx="11">
                  <c:v>121153</c:v>
                </c:pt>
                <c:pt idx="12">
                  <c:v>113727</c:v>
                </c:pt>
                <c:pt idx="13">
                  <c:v>118466</c:v>
                </c:pt>
                <c:pt idx="14">
                  <c:v>108044</c:v>
                </c:pt>
                <c:pt idx="15">
                  <c:v>103920</c:v>
                </c:pt>
                <c:pt idx="16">
                  <c:v>185069</c:v>
                </c:pt>
                <c:pt idx="17">
                  <c:v>100449</c:v>
                </c:pt>
                <c:pt idx="18">
                  <c:v>80402</c:v>
                </c:pt>
                <c:pt idx="19">
                  <c:v>95303</c:v>
                </c:pt>
                <c:pt idx="20">
                  <c:v>98350</c:v>
                </c:pt>
                <c:pt idx="21">
                  <c:v>105051</c:v>
                </c:pt>
                <c:pt idx="22">
                  <c:v>92380</c:v>
                </c:pt>
                <c:pt idx="23">
                  <c:v>91671</c:v>
                </c:pt>
                <c:pt idx="24">
                  <c:v>92672</c:v>
                </c:pt>
                <c:pt idx="25">
                  <c:v>89256</c:v>
                </c:pt>
                <c:pt idx="26">
                  <c:v>103464</c:v>
                </c:pt>
                <c:pt idx="27">
                  <c:v>93656</c:v>
                </c:pt>
                <c:pt idx="28">
                  <c:v>103425</c:v>
                </c:pt>
                <c:pt idx="29">
                  <c:v>96943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BD4-46BB-BFF7-D8DA4A20A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3175">
              <a:solidFill>
                <a:srgbClr val="000000"/>
              </a:solidFill>
              <a:prstDash val="sysDash"/>
            </a:ln>
          </c:spPr>
        </c:dropLines>
        <c:marker val="1"/>
        <c:smooth val="0"/>
        <c:axId val="373079808"/>
        <c:axId val="373081376"/>
      </c:lineChart>
      <c:dateAx>
        <c:axId val="373079808"/>
        <c:scaling>
          <c:orientation val="minMax"/>
        </c:scaling>
        <c:delete val="0"/>
        <c:axPos val="b"/>
        <c:numFmt formatCode="mmm\,\ dd\ d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lang="en-IN" sz="800" b="0" i="0" u="none" strike="noStrike" baseline="0">
                <a:solidFill>
                  <a:srgbClr val="000000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373081376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3730813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IN" sz="875" b="0" i="0" u="none" strike="noStrike" baseline="0">
                <a:solidFill>
                  <a:srgbClr val="000000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37307980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99" r="0.75000000000001199" t="1" header="0.5" footer="0.5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IN" sz="2000" dirty="0">
                <a:latin typeface="Toyota Type Light" panose="020B0302020202020204"/>
              </a:rPr>
              <a:t>No. of Visits</a:t>
            </a:r>
            <a:endParaRPr lang="en-US" sz="2000" dirty="0">
              <a:latin typeface="Toyota Type Light" panose="020B0302020202020204"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295236399066774"/>
          <c:y val="0.1156135018284245"/>
          <c:w val="0.82257418446561492"/>
          <c:h val="0.63519499744215135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0066CC"/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000080"/>
              </a:solidFill>
              <a:ln>
                <a:solidFill>
                  <a:srgbClr val="0066CC"/>
                </a:solidFill>
                <a:prstDash val="solid"/>
              </a:ln>
            </c:spPr>
          </c:marker>
          <c:dLbls>
            <c:spPr>
              <a:gradFill rotWithShape="0">
                <a:gsLst>
                  <a:gs pos="0">
                    <a:srgbClr val="9999FF">
                      <a:gamma/>
                      <a:shade val="86275"/>
                      <a:invGamma/>
                    </a:srgbClr>
                  </a:gs>
                  <a:gs pos="50000">
                    <a:srgbClr val="9999FF"/>
                  </a:gs>
                  <a:gs pos="100000">
                    <a:srgbClr val="9999FF">
                      <a:gamma/>
                      <a:shade val="86275"/>
                      <a:invGamma/>
                    </a:srgbClr>
                  </a:gs>
                </a:gsLst>
                <a:lin ang="5400000" scaled="1"/>
              </a:gradFill>
              <a:ln w="3175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txPr>
              <a:bodyPr/>
              <a:lstStyle/>
              <a:p>
                <a:pPr>
                  <a:defRPr lang="en-IN" sz="1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'No of Visitors'!$A$2:$A$7</c:f>
              <c:strCache>
                <c:ptCount val="6"/>
                <c:pt idx="0">
                  <c:v>Apr-2025</c:v>
                </c:pt>
                <c:pt idx="1">
                  <c:v>May-2025</c:v>
                </c:pt>
                <c:pt idx="2">
                  <c:v>Jun-2025</c:v>
                </c:pt>
                <c:pt idx="3">
                  <c:v>Jul-2025</c:v>
                </c:pt>
                <c:pt idx="4">
                  <c:v>Aug-2025</c:v>
                </c:pt>
                <c:pt idx="5">
                  <c:v>Sep-2025</c:v>
                </c:pt>
              </c:strCache>
            </c:strRef>
          </c:cat>
          <c:val>
            <c:numRef>
              <c:f>'No of Visitors'!$B$2:$B$7</c:f>
              <c:numCache>
                <c:formatCode>#,##0</c:formatCode>
                <c:ptCount val="6"/>
                <c:pt idx="0">
                  <c:v>1123222</c:v>
                </c:pt>
                <c:pt idx="1">
                  <c:v>1386083</c:v>
                </c:pt>
                <c:pt idx="2">
                  <c:v>3436416</c:v>
                </c:pt>
                <c:pt idx="3">
                  <c:v>4167538</c:v>
                </c:pt>
                <c:pt idx="4">
                  <c:v>1883860</c:v>
                </c:pt>
                <c:pt idx="5">
                  <c:v>2306319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A0-4C63-8B5B-C58B14937B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3175">
              <a:solidFill>
                <a:srgbClr val="000000"/>
              </a:solidFill>
              <a:prstDash val="sysDash"/>
            </a:ln>
          </c:spPr>
        </c:dropLines>
        <c:marker val="1"/>
        <c:smooth val="0"/>
        <c:axId val="450085856"/>
        <c:axId val="450088992"/>
      </c:lineChart>
      <c:catAx>
        <c:axId val="450085856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lang="en-IN" sz="1200" b="0" i="0" u="none" strike="noStrike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endParaRPr lang="en-US"/>
          </a:p>
        </c:txPr>
        <c:crossAx val="450088992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450088992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IN" sz="1175" b="0" i="0" u="none" strike="noStrike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endParaRPr lang="en-US"/>
          </a:p>
        </c:txPr>
        <c:crossAx val="450085856"/>
        <c:crosses val="autoZero"/>
        <c:crossBetween val="between"/>
        <c:majorUnit val="1000000"/>
        <c:minorUnit val="200000"/>
      </c:valAx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IN" sz="2000" dirty="0">
                <a:latin typeface="Toyota Type Light" panose="020B0302020202020204"/>
              </a:rPr>
              <a:t>No. of Visits</a:t>
            </a:r>
            <a:endParaRPr lang="en-US" sz="2000" dirty="0">
              <a:latin typeface="Toyota Type Light" panose="020B0302020202020204"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867863261741905"/>
          <c:y val="0.13539165909769094"/>
          <c:w val="0.82257418446561492"/>
          <c:h val="0.63519499744215135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0066CC"/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000080"/>
              </a:solidFill>
              <a:ln>
                <a:solidFill>
                  <a:srgbClr val="0066CC"/>
                </a:solidFill>
                <a:prstDash val="solid"/>
              </a:ln>
            </c:spPr>
          </c:marker>
          <c:dLbls>
            <c:spPr>
              <a:gradFill rotWithShape="0">
                <a:gsLst>
                  <a:gs pos="0">
                    <a:srgbClr val="9999FF">
                      <a:gamma/>
                      <a:shade val="86275"/>
                      <a:invGamma/>
                    </a:srgbClr>
                  </a:gs>
                  <a:gs pos="50000">
                    <a:srgbClr val="9999FF"/>
                  </a:gs>
                  <a:gs pos="100000">
                    <a:srgbClr val="9999FF">
                      <a:gamma/>
                      <a:shade val="86275"/>
                      <a:invGamma/>
                    </a:srgbClr>
                  </a:gs>
                </a:gsLst>
                <a:lin ang="5400000" scaled="1"/>
              </a:gradFill>
              <a:ln w="3175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txPr>
              <a:bodyPr/>
              <a:lstStyle/>
              <a:p>
                <a:pPr>
                  <a:defRPr lang="en-IN" sz="1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'No of Visitors'!$C$2:$C$7</c:f>
              <c:strCache>
                <c:ptCount val="6"/>
                <c:pt idx="0">
                  <c:v>Apr-2025</c:v>
                </c:pt>
                <c:pt idx="1">
                  <c:v>May-2025</c:v>
                </c:pt>
                <c:pt idx="2">
                  <c:v>Jun-2025</c:v>
                </c:pt>
                <c:pt idx="3">
                  <c:v>Jul-2025</c:v>
                </c:pt>
                <c:pt idx="4">
                  <c:v>Aug-2025</c:v>
                </c:pt>
                <c:pt idx="5">
                  <c:v>Sep-2025</c:v>
                </c:pt>
              </c:strCache>
            </c:strRef>
          </c:cat>
          <c:val>
            <c:numRef>
              <c:f>'No of Visitors'!$D$2:$D$7</c:f>
              <c:numCache>
                <c:formatCode>#,##0</c:formatCode>
                <c:ptCount val="6"/>
                <c:pt idx="0" formatCode="General">
                  <c:v>891375</c:v>
                </c:pt>
                <c:pt idx="1">
                  <c:v>1127700</c:v>
                </c:pt>
                <c:pt idx="2">
                  <c:v>3122151</c:v>
                </c:pt>
                <c:pt idx="3">
                  <c:v>3844822</c:v>
                </c:pt>
                <c:pt idx="4">
                  <c:v>1585494</c:v>
                </c:pt>
                <c:pt idx="5">
                  <c:v>1941298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62-4149-A47A-2A74FCDD62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3175">
              <a:solidFill>
                <a:srgbClr val="000000"/>
              </a:solidFill>
              <a:prstDash val="sysDash"/>
            </a:ln>
          </c:spPr>
        </c:dropLines>
        <c:marker val="1"/>
        <c:smooth val="0"/>
        <c:axId val="450085856"/>
        <c:axId val="450088992"/>
      </c:lineChart>
      <c:catAx>
        <c:axId val="450085856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lang="en-IN" sz="1200" b="0" i="0" u="none" strike="noStrike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endParaRPr lang="en-US"/>
          </a:p>
        </c:txPr>
        <c:crossAx val="450088992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4500889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IN" sz="1175" b="0" i="0" u="none" strike="noStrike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endParaRPr lang="en-US"/>
          </a:p>
        </c:txPr>
        <c:crossAx val="450085856"/>
        <c:crosses val="autoZero"/>
        <c:crossBetween val="between"/>
        <c:majorUnit val="1000000"/>
      </c:valAx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IN" sz="2000" dirty="0">
                <a:latin typeface="Toyota Type Light" panose="020B0302020202020204"/>
              </a:rPr>
              <a:t> Total No. of leads/enquiries</a:t>
            </a:r>
          </a:p>
        </c:rich>
      </c:tx>
      <c:layout>
        <c:manualLayout>
          <c:xMode val="edge"/>
          <c:yMode val="edge"/>
          <c:x val="0.40064055308032193"/>
          <c:y val="1.495792230454706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248895502682266"/>
          <c:y val="0.1136056299340498"/>
          <c:w val="0.83766185640251112"/>
          <c:h val="0.75156005553515992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0066CC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80"/>
              </a:solidFill>
              <a:ln>
                <a:solidFill>
                  <a:srgbClr val="0066CC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3.4989648033126292E-2"/>
                  <c:y val="-3.6463028328355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1F4-4A84-B0EB-D390B24C1003}"/>
                </c:ext>
              </c:extLst>
            </c:dLbl>
            <c:dLbl>
              <c:idx val="1"/>
              <c:layout>
                <c:manualLayout>
                  <c:x val="-2.7329192546583891E-2"/>
                  <c:y val="-4.07653181283373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1F4-4A84-B0EB-D390B24C1003}"/>
                </c:ext>
              </c:extLst>
            </c:dLbl>
            <c:dLbl>
              <c:idx val="2"/>
              <c:layout>
                <c:manualLayout>
                  <c:x val="-3.1746031746031744E-2"/>
                  <c:y val="-4.35664162669321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1F4-4A84-B0EB-D390B24C1003}"/>
                </c:ext>
              </c:extLst>
            </c:dLbl>
            <c:dLbl>
              <c:idx val="3"/>
              <c:layout>
                <c:manualLayout>
                  <c:x val="-3.5472848502632846E-2"/>
                  <c:y val="-3.9939180016291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F4-4A84-B0EB-D390B24C1003}"/>
                </c:ext>
              </c:extLst>
            </c:dLbl>
            <c:dLbl>
              <c:idx val="4"/>
              <c:layout>
                <c:manualLayout>
                  <c:x val="-2.5742108323416096E-2"/>
                  <c:y val="-4.17739161915105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1F4-4A84-B0EB-D390B24C1003}"/>
                </c:ext>
              </c:extLst>
            </c:dLbl>
            <c:dLbl>
              <c:idx val="5"/>
              <c:layout>
                <c:manualLayout>
                  <c:x val="-3.3264428902908767E-2"/>
                  <c:y val="-3.38924186200862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F4-4A84-B0EB-D390B24C1003}"/>
                </c:ext>
              </c:extLst>
            </c:dLbl>
            <c:dLbl>
              <c:idx val="6"/>
              <c:layout>
                <c:manualLayout>
                  <c:x val="-1.5013911623132901E-2"/>
                  <c:y val="-4.55769376584341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1F4-4A84-B0EB-D390B24C1003}"/>
                </c:ext>
              </c:extLst>
            </c:dLbl>
            <c:dLbl>
              <c:idx val="7"/>
              <c:layout>
                <c:manualLayout>
                  <c:x val="-2.2429266748991698E-2"/>
                  <c:y val="-6.66644325940105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1F4-4A84-B0EB-D390B24C1003}"/>
                </c:ext>
              </c:extLst>
            </c:dLbl>
            <c:dLbl>
              <c:idx val="8"/>
              <c:layout>
                <c:manualLayout>
                  <c:x val="-1.9944811287886159E-2"/>
                  <c:y val="-5.43099108999520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1F4-4A84-B0EB-D390B24C1003}"/>
                </c:ext>
              </c:extLst>
            </c:dLbl>
            <c:dLbl>
              <c:idx val="9"/>
              <c:layout>
                <c:manualLayout>
                  <c:x val="-1.6425158092891783E-2"/>
                  <c:y val="-4.0459350873355636E-2"/>
                </c:manualLayout>
              </c:layout>
              <c:spPr>
                <a:solidFill>
                  <a:srgbClr val="9999FF"/>
                </a:solidFill>
                <a:ln w="25400">
                  <a:noFill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n-IN" sz="900" b="0" i="0" u="none" strike="noStrike" baseline="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F4-4A84-B0EB-D390B24C100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pPr>
                      <a:defRPr lang="en-IN" sz="900" b="0" i="0" u="none" strike="noStrike" baseline="0">
                        <a:solidFill>
                          <a:srgbClr val="000000"/>
                        </a:solidFill>
                        <a:latin typeface="Verdana"/>
                        <a:ea typeface="Verdana"/>
                        <a:cs typeface="Verdana"/>
                      </a:defRPr>
                    </a:pPr>
                    <a:r>
                      <a:rPr lang="en-IN"/>
                      <a:t>6004</a:t>
                    </a:r>
                  </a:p>
                </c:rich>
              </c:tx>
              <c:spPr>
                <a:solidFill>
                  <a:srgbClr val="9999FF"/>
                </a:solidFill>
                <a:ln w="25400">
                  <a:noFill/>
                </a:ln>
                <a:effectLst>
                  <a:outerShdw dist="35921" dir="2700000" algn="br">
                    <a:srgbClr val="000000"/>
                  </a:outerShdw>
                </a:effectLst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81F4-4A84-B0EB-D390B24C100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pPr>
                      <a:defRPr lang="en-IN" sz="900" b="0" i="0" u="none" strike="noStrike" baseline="0">
                        <a:solidFill>
                          <a:srgbClr val="000000"/>
                        </a:solidFill>
                        <a:latin typeface="Verdana"/>
                        <a:ea typeface="Verdana"/>
                        <a:cs typeface="Verdana"/>
                      </a:defRPr>
                    </a:pPr>
                    <a:r>
                      <a:rPr lang="en-IN"/>
                      <a:t>779</a:t>
                    </a:r>
                  </a:p>
                </c:rich>
              </c:tx>
              <c:spPr>
                <a:solidFill>
                  <a:srgbClr val="9999FF"/>
                </a:solidFill>
                <a:ln w="25400">
                  <a:noFill/>
                </a:ln>
                <a:effectLst>
                  <a:outerShdw dist="35921" dir="2700000" algn="br">
                    <a:srgbClr val="000000"/>
                  </a:outerShdw>
                </a:effectLst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81F4-4A84-B0EB-D390B24C1003}"/>
                </c:ext>
              </c:extLst>
            </c:dLbl>
            <c:dLbl>
              <c:idx val="12"/>
              <c:spPr>
                <a:solidFill>
                  <a:srgbClr val="9999FF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n-IN" sz="900" b="0" i="0" u="none" strike="noStrike" baseline="0">
                      <a:solidFill>
                        <a:srgbClr val="000000"/>
                      </a:solidFill>
                      <a:latin typeface="Century Gothic"/>
                      <a:ea typeface="Century Gothic"/>
                      <a:cs typeface="Century Gothic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1F4-4A84-B0EB-D390B24C1003}"/>
                </c:ext>
              </c:extLst>
            </c:dLbl>
            <c:dLbl>
              <c:idx val="13"/>
              <c:spPr>
                <a:solidFill>
                  <a:srgbClr val="9999FF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n-IN" sz="9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81F4-4A84-B0EB-D390B24C1003}"/>
                </c:ext>
              </c:extLst>
            </c:dLbl>
            <c:dLbl>
              <c:idx val="14"/>
              <c:spPr>
                <a:solidFill>
                  <a:srgbClr val="9999FF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n-IN" sz="16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81F4-4A84-B0EB-D390B24C1003}"/>
                </c:ext>
              </c:extLst>
            </c:dLbl>
            <c:dLbl>
              <c:idx val="15"/>
              <c:spPr>
                <a:solidFill>
                  <a:srgbClr val="9999FF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n-IN" sz="16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81F4-4A84-B0EB-D390B24C1003}"/>
                </c:ext>
              </c:extLst>
            </c:dLbl>
            <c:dLbl>
              <c:idx val="16"/>
              <c:layout>
                <c:manualLayout>
                  <c:x val="0.2216385203422665"/>
                  <c:y val="-0.22902221791036664"/>
                </c:manualLayout>
              </c:layout>
              <c:spPr>
                <a:solidFill>
                  <a:srgbClr val="9999FF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n-IN" sz="1000" b="0" i="0" u="none" strike="noStrike" baseline="0">
                      <a:solidFill>
                        <a:srgbClr val="000000"/>
                      </a:solidFill>
                      <a:latin typeface="Century Gothic"/>
                      <a:ea typeface="Century Gothic"/>
                      <a:cs typeface="Century Gothic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1F4-4A84-B0EB-D390B24C1003}"/>
                </c:ext>
              </c:extLst>
            </c:dLbl>
            <c:dLbl>
              <c:idx val="17"/>
              <c:layout>
                <c:manualLayout>
                  <c:x val="-0.34764064348779833"/>
                  <c:y val="-0.54937603422578662"/>
                </c:manualLayout>
              </c:layout>
              <c:spPr>
                <a:solidFill>
                  <a:srgbClr val="9999FF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n-IN" sz="16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1F4-4A84-B0EB-D390B24C1003}"/>
                </c:ext>
              </c:extLst>
            </c:dLbl>
            <c:dLbl>
              <c:idx val="18"/>
              <c:layout>
                <c:manualLayout>
                  <c:x val="-0.36619450420767108"/>
                  <c:y val="-0.51626020489158653"/>
                </c:manualLayout>
              </c:layout>
              <c:spPr>
                <a:solidFill>
                  <a:srgbClr val="9999FF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n-IN" sz="16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1F4-4A84-B0EB-D390B24C1003}"/>
                </c:ext>
              </c:extLst>
            </c:dLbl>
            <c:dLbl>
              <c:idx val="19"/>
              <c:layout>
                <c:manualLayout>
                  <c:x val="-0.38888926454515887"/>
                  <c:y val="-0.46443960669152129"/>
                </c:manualLayout>
              </c:layout>
              <c:spPr>
                <a:solidFill>
                  <a:srgbClr val="9999FF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n-IN" sz="16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1F4-4A84-B0EB-D390B24C1003}"/>
                </c:ext>
              </c:extLst>
            </c:dLbl>
            <c:dLbl>
              <c:idx val="20"/>
              <c:spPr>
                <a:solidFill>
                  <a:srgbClr val="9999FF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n-IN" sz="16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1F4-4A84-B0EB-D390B24C1003}"/>
                </c:ext>
              </c:extLst>
            </c:dLbl>
            <c:dLbl>
              <c:idx val="21"/>
              <c:spPr>
                <a:solidFill>
                  <a:srgbClr val="9999FF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n-IN" sz="16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1F4-4A84-B0EB-D390B24C1003}"/>
                </c:ext>
              </c:extLst>
            </c:dLbl>
            <c:dLbl>
              <c:idx val="22"/>
              <c:spPr>
                <a:solidFill>
                  <a:srgbClr val="9999FF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n-IN" sz="16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1F4-4A84-B0EB-D390B24C1003}"/>
                </c:ext>
              </c:extLst>
            </c:dLbl>
            <c:dLbl>
              <c:idx val="23"/>
              <c:spPr>
                <a:solidFill>
                  <a:srgbClr val="9999FF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n-IN" sz="16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1F4-4A84-B0EB-D390B24C1003}"/>
                </c:ext>
              </c:extLst>
            </c:dLbl>
            <c:dLbl>
              <c:idx val="24"/>
              <c:spPr>
                <a:solidFill>
                  <a:srgbClr val="9999FF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n-IN" sz="16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1F4-4A84-B0EB-D390B24C1003}"/>
                </c:ext>
              </c:extLst>
            </c:dLbl>
            <c:dLbl>
              <c:idx val="25"/>
              <c:spPr>
                <a:solidFill>
                  <a:srgbClr val="9999FF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n-IN" sz="16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1F4-4A84-B0EB-D390B24C1003}"/>
                </c:ext>
              </c:extLst>
            </c:dLbl>
            <c:spPr>
              <a:solidFill>
                <a:srgbClr val="9999FF"/>
              </a:solidFill>
              <a:ln w="3175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txPr>
              <a:bodyPr/>
              <a:lstStyle/>
              <a:p>
                <a:pPr>
                  <a:defRPr lang="en-IN" sz="9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'Online Requests Trends'!$A$2:$A$7</c:f>
              <c:strCache>
                <c:ptCount val="6"/>
                <c:pt idx="0">
                  <c:v>Apr-2025</c:v>
                </c:pt>
                <c:pt idx="1">
                  <c:v>May-2025</c:v>
                </c:pt>
                <c:pt idx="2">
                  <c:v>Jun-2025</c:v>
                </c:pt>
                <c:pt idx="3">
                  <c:v>Jul-2025</c:v>
                </c:pt>
                <c:pt idx="4">
                  <c:v>Aug-2025</c:v>
                </c:pt>
                <c:pt idx="5">
                  <c:v>Sep-2025</c:v>
                </c:pt>
              </c:strCache>
            </c:strRef>
          </c:cat>
          <c:val>
            <c:numRef>
              <c:f>'Online Requests Trends'!$B$2:$B$7</c:f>
              <c:numCache>
                <c:formatCode>#,##0</c:formatCode>
                <c:ptCount val="6"/>
                <c:pt idx="0">
                  <c:v>59939</c:v>
                </c:pt>
                <c:pt idx="1">
                  <c:v>100509</c:v>
                </c:pt>
                <c:pt idx="2">
                  <c:v>114024</c:v>
                </c:pt>
                <c:pt idx="3">
                  <c:v>113905</c:v>
                </c:pt>
                <c:pt idx="4">
                  <c:v>127069</c:v>
                </c:pt>
                <c:pt idx="5">
                  <c:v>148616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1F4-4A84-B0EB-D390B24C10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3175">
              <a:solidFill>
                <a:srgbClr val="000000"/>
              </a:solidFill>
              <a:prstDash val="sysDash"/>
            </a:ln>
          </c:spPr>
        </c:dropLines>
        <c:marker val="1"/>
        <c:smooth val="0"/>
        <c:axId val="450085072"/>
        <c:axId val="450085464"/>
      </c:lineChart>
      <c:dateAx>
        <c:axId val="45008507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lang="en-IN" sz="1000" b="0" i="0" u="none" strike="noStrike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endParaRPr lang="en-US"/>
          </a:p>
        </c:txPr>
        <c:crossAx val="450085464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450085464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IN" sz="1000" b="0" i="0" u="none" strike="noStrike" baseline="0">
                <a:solidFill>
                  <a:srgbClr val="000000"/>
                </a:solidFill>
                <a:latin typeface="Century Gothic"/>
                <a:ea typeface="Century Gothic"/>
                <a:cs typeface="Century Gothic"/>
              </a:defRPr>
            </a:pPr>
            <a:endParaRPr lang="en-US"/>
          </a:p>
        </c:txPr>
        <c:crossAx val="45008507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28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Toyota Type Light" panose="020B0302020202020204" pitchFamily="34" charset="0"/>
                <a:ea typeface="+mn-ea"/>
                <a:cs typeface="Toyota Type Light" panose="020B0302020202020204" pitchFamily="34" charset="0"/>
              </a:defRPr>
            </a:pPr>
            <a:r>
              <a:rPr lang="en-US" dirty="0">
                <a:latin typeface="Toyota Type Light" panose="020B0302020202020204" pitchFamily="34" charset="0"/>
                <a:cs typeface="Toyota Type Light" panose="020B0302020202020204" pitchFamily="34" charset="0"/>
              </a:rPr>
              <a:t>Traffic Sources</a:t>
            </a:r>
          </a:p>
        </c:rich>
      </c:tx>
      <c:layout>
        <c:manualLayout>
          <c:xMode val="edge"/>
          <c:yMode val="edge"/>
          <c:x val="0.33400612966857401"/>
          <c:y val="1.51515151515151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28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Toyota Type Light" panose="020B0302020202020204" pitchFamily="34" charset="0"/>
              <a:ea typeface="+mn-ea"/>
              <a:cs typeface="Toyota Type Light" panose="020B0302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181908740547088"/>
          <c:y val="0.2955257237473895"/>
          <c:w val="0.66652410058876155"/>
          <c:h val="0.7044742762526105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407-4F54-A688-F1FC4787E3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407-4F54-A688-F1FC4787E38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407-4F54-A688-F1FC4787E38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407-4F54-A688-F1FC4787E38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407-4F54-A688-F1FC4787E38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407-4F54-A688-F1FC4787E38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F407-4F54-A688-F1FC4787E38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F407-4F54-A688-F1FC4787E38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0053-45F9-B933-05D83A4695A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0053-45F9-B933-05D83A4695A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0053-45F9-B933-05D83A4695A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0053-45F9-B933-05D83A4695A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A893-4DDA-B3EA-BF7C382EFAD1}"/>
              </c:ext>
            </c:extLst>
          </c:dPt>
          <c:dLbls>
            <c:dLbl>
              <c:idx val="0"/>
              <c:layout>
                <c:manualLayout>
                  <c:x val="-3.6413869318966709E-3"/>
                  <c:y val="5.31456295235822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1FF39612-C0CA-4DEB-A9CA-046C22AC150D}" type="CELLRANGE">
                      <a:rPr lang="en-US" sz="1000" baseline="0"/>
                      <a:pPr>
                        <a:defRPr sz="1000"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[CELLRANGE]</a:t>
                    </a:fld>
                    <a:r>
                      <a:rPr lang="en-US" sz="1000" baseline="0"/>
                      <a:t>, </a:t>
                    </a:r>
                    <a:fld id="{30FA7574-CC7A-44C6-9D41-A4FCB07A2BB2}" type="VALUE">
                      <a:rPr lang="en-US" sz="1000" baseline="0"/>
                      <a:pPr>
                        <a:defRPr sz="1000"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r>
                      <a:rPr lang="en-US" sz="1000" b="1" i="0" u="none" strike="noStrike" kern="1200" spc="0" baseline="0">
                        <a:solidFill>
                          <a:srgbClr val="4F81BD"/>
                        </a:solidFill>
                        <a:latin typeface="Toyota Type Light" panose="020B0302020202020204" pitchFamily="34" charset="0"/>
                        <a:cs typeface="Toyota Type Light" panose="020B0302020202020204" pitchFamily="34" charset="0"/>
                      </a:rPr>
                      <a:t>%</a:t>
                    </a:r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7712934139046574"/>
                      <c:h val="0.17851067061475426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407-4F54-A688-F1FC4787E387}"/>
                </c:ext>
              </c:extLst>
            </c:dLbl>
            <c:dLbl>
              <c:idx val="1"/>
              <c:layout>
                <c:manualLayout>
                  <c:x val="0.25293898788967162"/>
                  <c:y val="-1.05818883391335E-1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6ECC52A2-C8A9-4B81-B344-9DDED49CE663}" type="CELLRANG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[CELLRANGE]</a:t>
                    </a:fld>
                    <a:r>
                      <a:rPr lang="en-US" sz="1000" baseline="0"/>
                      <a:t>, </a:t>
                    </a:r>
                    <a:fld id="{7FC2E12B-8FBE-402C-AAA0-01A6AD10F636}" type="VALU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r>
                      <a:rPr lang="en-US" sz="1000" b="1" i="0" u="none" strike="noStrike" kern="1200" spc="0" baseline="0">
                        <a:solidFill>
                          <a:srgbClr val="4F81BD"/>
                        </a:solidFill>
                        <a:latin typeface="Toyota Type Light" panose="020B0302020202020204" pitchFamily="34" charset="0"/>
                        <a:cs typeface="Toyota Type Light" panose="020B0302020202020204" pitchFamily="34" charset="0"/>
                      </a:rPr>
                      <a:t>%</a:t>
                    </a:r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407-4F54-A688-F1FC4787E387}"/>
                </c:ext>
              </c:extLst>
            </c:dLbl>
            <c:dLbl>
              <c:idx val="2"/>
              <c:layout>
                <c:manualLayout>
                  <c:x val="-3.3550882775681273E-2"/>
                  <c:y val="0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4C7675EC-56C0-416A-8CA5-3FEAA54881BA}" type="CELLRANG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[CELLRANGE]</a:t>
                    </a:fld>
                    <a:r>
                      <a:rPr lang="en-US" sz="1000" baseline="0"/>
                      <a:t>, </a:t>
                    </a:r>
                    <a:fld id="{D15D3228-5235-4E56-8E4F-11178C699ABA}" type="VALU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r>
                      <a:rPr lang="en-US" sz="1000" b="1" i="0" u="none" strike="noStrike" kern="1200" spc="0" baseline="0">
                        <a:solidFill>
                          <a:srgbClr val="4F81BD"/>
                        </a:solidFill>
                        <a:latin typeface="Toyota Type Light" panose="020B0302020202020204" pitchFamily="34" charset="0"/>
                        <a:cs typeface="Toyota Type Light" panose="020B0302020202020204" pitchFamily="34" charset="0"/>
                      </a:rPr>
                      <a:t>%</a:t>
                    </a:r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F407-4F54-A688-F1FC4787E387}"/>
                </c:ext>
              </c:extLst>
            </c:dLbl>
            <c:dLbl>
              <c:idx val="3"/>
              <c:layout>
                <c:manualLayout>
                  <c:x val="-0.12342690859294762"/>
                  <c:y val="9.482211111443764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759AD79D-63D2-4611-A361-86BAAA0F5F63}" type="CELLRANG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[CELLRANGE]</a:t>
                    </a:fld>
                    <a:r>
                      <a:rPr lang="en-US" sz="1000" baseline="0"/>
                      <a:t>, </a:t>
                    </a:r>
                    <a:fld id="{1CD5AEDA-3648-4D40-96E9-F63712B108BA}" type="VALU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r>
                      <a:rPr lang="en-US" sz="1000" b="1" i="0" u="none" strike="noStrike" kern="1200" spc="0" baseline="0">
                        <a:solidFill>
                          <a:srgbClr val="4F81BD"/>
                        </a:solidFill>
                        <a:latin typeface="Toyota Type Light" panose="020B0302020202020204" pitchFamily="34" charset="0"/>
                        <a:cs typeface="Toyota Type Light" panose="020B0302020202020204" pitchFamily="34" charset="0"/>
                      </a:rPr>
                      <a:t>%</a:t>
                    </a:r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F407-4F54-A688-F1FC4787E387}"/>
                </c:ext>
              </c:extLst>
            </c:dLbl>
            <c:dLbl>
              <c:idx val="4"/>
              <c:layout>
                <c:manualLayout>
                  <c:x val="-0.2249309597169919"/>
                  <c:y val="2.8803528836461516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7B86DE16-7308-488A-AAA5-094BCFF734CA}" type="CELLRANG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[CELLRANGE]</a:t>
                    </a:fld>
                    <a:r>
                      <a:rPr lang="en-US" sz="1000" baseline="0"/>
                      <a:t>, </a:t>
                    </a:r>
                    <a:fld id="{899190B7-810D-4D38-A52A-14696662BC4A}" type="VALU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r>
                      <a:rPr lang="en-US" sz="1000" b="1" i="0" u="none" strike="noStrike" kern="1200" spc="0" baseline="0">
                        <a:solidFill>
                          <a:srgbClr val="4F81BD"/>
                        </a:solidFill>
                        <a:latin typeface="Toyota Type Light" panose="020B0302020202020204" pitchFamily="34" charset="0"/>
                        <a:cs typeface="Toyota Type Light" panose="020B0302020202020204" pitchFamily="34" charset="0"/>
                      </a:rPr>
                      <a:t>%</a:t>
                    </a:r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0726708074534161"/>
                      <c:h val="6.805710738671633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F407-4F54-A688-F1FC4787E387}"/>
                </c:ext>
              </c:extLst>
            </c:dLbl>
            <c:dLbl>
              <c:idx val="5"/>
              <c:layout>
                <c:manualLayout>
                  <c:x val="-0.28525032197062322"/>
                  <c:y val="-8.376914862828457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E70B4B64-CE06-471A-8CE0-4585C85CA1E8}" type="CELLRANG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[CELLRANGE]</a:t>
                    </a:fld>
                    <a:r>
                      <a:rPr lang="en-US" sz="1000" baseline="0"/>
                      <a:t>, </a:t>
                    </a:r>
                    <a:fld id="{464E7521-14D1-430C-907F-7B6E716A5028}" type="VALU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r>
                      <a:rPr lang="en-US" sz="1000" b="1" i="0" u="none" strike="noStrike" kern="1200" spc="0" baseline="0">
                        <a:solidFill>
                          <a:srgbClr val="4F81BD"/>
                        </a:solidFill>
                        <a:latin typeface="Toyota Type Light" panose="020B0302020202020204" pitchFamily="34" charset="0"/>
                        <a:cs typeface="Toyota Type Light" panose="020B0302020202020204" pitchFamily="34" charset="0"/>
                      </a:rPr>
                      <a:t>%</a:t>
                    </a:r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1331262939958592"/>
                      <c:h val="6.805710738671633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F407-4F54-A688-F1FC4787E387}"/>
                </c:ext>
              </c:extLst>
            </c:dLbl>
            <c:dLbl>
              <c:idx val="6"/>
              <c:layout>
                <c:manualLayout>
                  <c:x val="-0.20081071387815652"/>
                  <c:y val="-0.1551504445974671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E6BAB2F5-AA61-4480-A626-2D53D67F14A5}" type="CELLRANG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[CELLRANGE]</a:t>
                    </a:fld>
                    <a:r>
                      <a:rPr lang="en-US" sz="1000" baseline="0"/>
                      <a:t>, </a:t>
                    </a:r>
                    <a:fld id="{44079165-1CF4-45D4-BE9A-F646A9912A07}" type="VALU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r>
                      <a:rPr lang="en-US" sz="1000" b="1" i="0" u="none" strike="noStrike" kern="1200" spc="0" baseline="0">
                        <a:solidFill>
                          <a:srgbClr val="4F81BD"/>
                        </a:solidFill>
                        <a:latin typeface="Toyota Type Light" panose="020B0302020202020204" pitchFamily="34" charset="0"/>
                        <a:cs typeface="Toyota Type Light" panose="020B0302020202020204" pitchFamily="34" charset="0"/>
                      </a:rPr>
                      <a:t>%</a:t>
                    </a:r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F407-4F54-A688-F1FC4787E387}"/>
                </c:ext>
              </c:extLst>
            </c:dLbl>
            <c:dLbl>
              <c:idx val="7"/>
              <c:layout>
                <c:manualLayout>
                  <c:x val="-3.6881857159159454E-2"/>
                  <c:y val="-0.1261127910342005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A8133AED-F381-4C0B-B556-5EA88CF29989}" type="CELLRANG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[CELLRANGE]</a:t>
                    </a:fld>
                    <a:r>
                      <a:rPr lang="en-US" sz="1000" baseline="0"/>
                      <a:t>, </a:t>
                    </a:r>
                    <a:fld id="{04E2D09E-35D9-46EB-8F78-7605ED98C187}" type="VALU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r>
                      <a:rPr lang="en-US" sz="1000" baseline="0"/>
                      <a:t>%</a:t>
                    </a:r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F407-4F54-A688-F1FC4787E387}"/>
                </c:ext>
              </c:extLst>
            </c:dLbl>
            <c:dLbl>
              <c:idx val="8"/>
              <c:layout>
                <c:manualLayout>
                  <c:x val="0.12712934567389594"/>
                  <c:y val="-0.1491284044039949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710C1D8B-930C-4952-ADD1-E64CDF4B13A6}" type="CATEGORYNAME">
                      <a:rPr lang="en-US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[CATEGORY NAME]</a:t>
                    </a:fld>
                    <a:r>
                      <a:rPr lang="en-US" baseline="0"/>
                      <a:t>, </a:t>
                    </a:r>
                    <a:fld id="{5633C236-4373-478A-9B48-53EE2252C05F}" type="VALUE">
                      <a:rPr lang="en-US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0053-45F9-B933-05D83A4695A5}"/>
                </c:ext>
              </c:extLst>
            </c:dLbl>
            <c:dLbl>
              <c:idx val="9"/>
              <c:layout>
                <c:manualLayout>
                  <c:x val="0.36573320440208112"/>
                  <c:y val="6.4371499017168571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F45BC810-C60F-4574-96D4-1959CB1F77C0}" type="CATEGORYNAME">
                      <a:rPr lang="en-US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[CATEGORY NAME]</a:t>
                    </a:fld>
                    <a:r>
                      <a:rPr lang="en-US" baseline="0"/>
                      <a:t>, </a:t>
                    </a:r>
                    <a:fld id="{F930168F-4891-4097-AD6E-BA66CA7B05D6}" type="VALUE">
                      <a:rPr lang="en-US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0053-45F9-B933-05D83A4695A5}"/>
                </c:ext>
              </c:extLst>
            </c:dLbl>
            <c:dLbl>
              <c:idx val="10"/>
              <c:layout>
                <c:manualLayout>
                  <c:x val="0.22314481742413778"/>
                  <c:y val="-8.769358375657589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0298FE76-53CA-4390-B1FB-D710C40A9B79}" type="CATEGORYNAME">
                      <a:rPr lang="en-US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[CATEGORY NAME]</a:t>
                    </a:fld>
                    <a:r>
                      <a:rPr lang="en-US" baseline="0"/>
                      <a:t>, </a:t>
                    </a:r>
                    <a:fld id="{9D47D7F2-283D-47BA-B4A9-F1275FC905F7}" type="VALUE">
                      <a:rPr lang="en-US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0053-45F9-B933-05D83A4695A5}"/>
                </c:ext>
              </c:extLst>
            </c:dLbl>
            <c:dLbl>
              <c:idx val="11"/>
              <c:layout>
                <c:manualLayout>
                  <c:x val="0.30316378873693428"/>
                  <c:y val="6.356887207280902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F2EEF346-BC2A-406B-90C4-A66517A4E590}" type="CATEGORYNAME">
                      <a:rPr lang="en-US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[CATEGORY NAME]</a:t>
                    </a:fld>
                    <a:r>
                      <a:rPr lang="en-US" baseline="0"/>
                      <a:t>, </a:t>
                    </a:r>
                    <a:fld id="{E7DB08F9-E45F-4BD3-9FFA-370DCC8D9E40}" type="VALUE">
                      <a:rPr lang="en-US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0053-45F9-B933-05D83A4695A5}"/>
                </c:ext>
              </c:extLst>
            </c:dLbl>
            <c:dLbl>
              <c:idx val="12"/>
              <c:layout>
                <c:manualLayout>
                  <c:x val="-1.6374269005847954E-2"/>
                  <c:y val="-6.637806637806638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r>
                      <a:rPr lang="en-US"/>
                      <a:t>Paid Video</a:t>
                    </a:r>
                    <a:r>
                      <a:rPr lang="en-US" baseline="0"/>
                      <a:t>, </a:t>
                    </a:r>
                    <a:fld id="{D95B3EC9-E013-4103-A72F-A9D4C307B085}" type="VALUE">
                      <a:rPr lang="en-US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A893-4DDA-B3EA-BF7C382EFAD1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9.0310077519379833E-2"/>
                      <c:h val="7.311263103204346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B-2F13-42D5-A547-B282326EFE03}"/>
                </c:ext>
              </c:extLst>
            </c:dLbl>
            <c:dLbl>
              <c:idx val="14"/>
              <c:layout>
                <c:manualLayout>
                  <c:x val="4.4573643410852716E-2"/>
                  <c:y val="0.15261049002640167"/>
                </c:manualLayout>
              </c:layout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C-2F13-42D5-A547-B282326EFE03}"/>
                </c:ext>
              </c:extLst>
            </c:dLbl>
            <c:numFmt formatCode="#,##0.00_ ;\-#,##0.0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Toyota Type Light" panose="020B0302020202020204" pitchFamily="34" charset="0"/>
                    <a:ea typeface="+mn-ea"/>
                    <a:cs typeface="Toyota Type Light" panose="020B0302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'Traffic source'!$A$2:$A$14</c:f>
              <c:strCache>
                <c:ptCount val="13"/>
                <c:pt idx="0">
                  <c:v>Organic Search</c:v>
                </c:pt>
                <c:pt idx="1">
                  <c:v>Paid Search</c:v>
                </c:pt>
                <c:pt idx="2">
                  <c:v>Display</c:v>
                </c:pt>
                <c:pt idx="3">
                  <c:v>Organic Social</c:v>
                </c:pt>
                <c:pt idx="4">
                  <c:v>Paid Social</c:v>
                </c:pt>
                <c:pt idx="5">
                  <c:v>Direct</c:v>
                </c:pt>
                <c:pt idx="6">
                  <c:v>Unassigned</c:v>
                </c:pt>
                <c:pt idx="7">
                  <c:v>Paid Shopping</c:v>
                </c:pt>
                <c:pt idx="8">
                  <c:v>Referral</c:v>
                </c:pt>
                <c:pt idx="9">
                  <c:v>Cross-network</c:v>
                </c:pt>
                <c:pt idx="10">
                  <c:v>Paid Other</c:v>
                </c:pt>
                <c:pt idx="11">
                  <c:v>Organic Shopping</c:v>
                </c:pt>
                <c:pt idx="12">
                  <c:v>Mobile Push Notifications</c:v>
                </c:pt>
              </c:strCache>
            </c:strRef>
          </c:cat>
          <c:val>
            <c:numRef>
              <c:f>'Traffic source'!$C$2:$C$14</c:f>
              <c:numCache>
                <c:formatCode>0.00</c:formatCode>
                <c:ptCount val="13"/>
                <c:pt idx="0">
                  <c:v>34.985359787609603</c:v>
                </c:pt>
                <c:pt idx="1">
                  <c:v>18.03358511983815</c:v>
                </c:pt>
                <c:pt idx="2">
                  <c:v>16.140655303971393</c:v>
                </c:pt>
                <c:pt idx="3">
                  <c:v>8.3559993218631075</c:v>
                </c:pt>
                <c:pt idx="4">
                  <c:v>7.8928803864513108</c:v>
                </c:pt>
                <c:pt idx="5">
                  <c:v>7.6843662997182953</c:v>
                </c:pt>
                <c:pt idx="6">
                  <c:v>3.6940249809328196</c:v>
                </c:pt>
                <c:pt idx="7">
                  <c:v>1.3286106562015054</c:v>
                </c:pt>
                <c:pt idx="8">
                  <c:v>0.72786982199773753</c:v>
                </c:pt>
                <c:pt idx="9">
                  <c:v>0.64488043501354331</c:v>
                </c:pt>
                <c:pt idx="10">
                  <c:v>0.27962307035583545</c:v>
                </c:pt>
                <c:pt idx="11">
                  <c:v>0.26730907563090794</c:v>
                </c:pt>
                <c:pt idx="12">
                  <c:v>3.425371772074895E-2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('Traffic source'!$A$2:$A$9,'Traffic source'!$C$2:$C$9)</c15:f>
                <c15:dlblRangeCache>
                  <c:ptCount val="16"/>
                  <c:pt idx="0">
                    <c:v>Organic Search</c:v>
                  </c:pt>
                  <c:pt idx="1">
                    <c:v>Paid Search</c:v>
                  </c:pt>
                  <c:pt idx="2">
                    <c:v>Display</c:v>
                  </c:pt>
                  <c:pt idx="3">
                    <c:v>Organic Social</c:v>
                  </c:pt>
                  <c:pt idx="4">
                    <c:v>Paid Social</c:v>
                  </c:pt>
                  <c:pt idx="5">
                    <c:v>Direct</c:v>
                  </c:pt>
                  <c:pt idx="6">
                    <c:v>Unassigned</c:v>
                  </c:pt>
                  <c:pt idx="7">
                    <c:v>Paid Shopping</c:v>
                  </c:pt>
                  <c:pt idx="8">
                    <c:v>34.99</c:v>
                  </c:pt>
                  <c:pt idx="9">
                    <c:v>18.03</c:v>
                  </c:pt>
                  <c:pt idx="10">
                    <c:v>16.14</c:v>
                  </c:pt>
                  <c:pt idx="11">
                    <c:v>8.36</c:v>
                  </c:pt>
                  <c:pt idx="12">
                    <c:v>7.89</c:v>
                  </c:pt>
                  <c:pt idx="13">
                    <c:v>7.68</c:v>
                  </c:pt>
                  <c:pt idx="14">
                    <c:v>3.69</c:v>
                  </c:pt>
                  <c:pt idx="15">
                    <c:v>1.33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F407-4F54-A688-F1FC4787E3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28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Toyota Type Light" panose="020B0302020202020204" pitchFamily="34" charset="0"/>
                <a:ea typeface="+mn-ea"/>
                <a:cs typeface="Toyota Type Light" panose="020B0302020202020204" pitchFamily="34" charset="0"/>
              </a:defRPr>
            </a:pPr>
            <a:r>
              <a:rPr lang="en-US" dirty="0">
                <a:latin typeface="Toyota Type Light" panose="020B0302020202020204" pitchFamily="34" charset="0"/>
                <a:cs typeface="Toyota Type Light" panose="020B0302020202020204" pitchFamily="34" charset="0"/>
              </a:rPr>
              <a:t>Traffic Sources</a:t>
            </a:r>
          </a:p>
        </c:rich>
      </c:tx>
      <c:layout>
        <c:manualLayout>
          <c:xMode val="edge"/>
          <c:yMode val="edge"/>
          <c:x val="0.33400612966857401"/>
          <c:y val="1.51515151515151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28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Toyota Type Light" panose="020B0302020202020204" pitchFamily="34" charset="0"/>
              <a:ea typeface="+mn-ea"/>
              <a:cs typeface="Toyota Type Light" panose="020B0302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181908740547088"/>
          <c:y val="0.2955257237473895"/>
          <c:w val="0.66652410058876155"/>
          <c:h val="0.7044742762526105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9A6-4833-A724-2606404AF0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9A6-4833-A724-2606404AF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9A6-4833-A724-2606404AF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9A6-4833-A724-2606404AF0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9A6-4833-A724-2606404AF0B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9A6-4833-A724-2606404AF0B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9A6-4833-A724-2606404AF0B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9A6-4833-A724-2606404AF0B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9A6-4833-A724-2606404AF0B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9A6-4833-A724-2606404AF0B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9A6-4833-A724-2606404AF0B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9A6-4833-A724-2606404AF0B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69A6-4833-A724-2606404AF0B4}"/>
              </c:ext>
            </c:extLst>
          </c:dPt>
          <c:dLbls>
            <c:dLbl>
              <c:idx val="0"/>
              <c:layout>
                <c:manualLayout>
                  <c:x val="-1.0658931789239337E-2"/>
                  <c:y val="0.1310677602072912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1FF39612-C0CA-4DEB-A9CA-046C22AC150D}" type="CELLRANGE">
                      <a:rPr lang="en-US" sz="1000" baseline="0"/>
                      <a:pPr>
                        <a:defRPr sz="1000"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[CELLRANGE]</a:t>
                    </a:fld>
                    <a:r>
                      <a:rPr lang="en-US" sz="1000" baseline="0"/>
                      <a:t>, </a:t>
                    </a:r>
                    <a:fld id="{30FA7574-CC7A-44C6-9D41-A4FCB07A2BB2}" type="VALUE">
                      <a:rPr lang="en-US" sz="1000" baseline="0"/>
                      <a:pPr>
                        <a:defRPr sz="1000"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r>
                      <a:rPr lang="en-US" sz="1000" b="1" i="0" u="none" strike="noStrike" kern="1200" spc="0" baseline="0">
                        <a:solidFill>
                          <a:srgbClr val="4F81BD"/>
                        </a:solidFill>
                        <a:latin typeface="Toyota Type Light" panose="020B0302020202020204" pitchFamily="34" charset="0"/>
                        <a:cs typeface="Toyota Type Light" panose="020B0302020202020204" pitchFamily="34" charset="0"/>
                      </a:rPr>
                      <a:t>%</a:t>
                    </a:r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7712934139046574"/>
                      <c:h val="0.17851067061475426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69A6-4833-A724-2606404AF0B4}"/>
                </c:ext>
              </c:extLst>
            </c:dLbl>
            <c:dLbl>
              <c:idx val="1"/>
              <c:layout>
                <c:manualLayout>
                  <c:x val="-6.7101765551362529E-3"/>
                  <c:y val="3.66972477064219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6ECC52A2-C8A9-4B81-B344-9DDED49CE663}" type="CELLRANG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[CELLRANGE]</a:t>
                    </a:fld>
                    <a:r>
                      <a:rPr lang="en-US" sz="1000" baseline="0"/>
                      <a:t>, </a:t>
                    </a:r>
                    <a:fld id="{7FC2E12B-8FBE-402C-AAA0-01A6AD10F636}" type="VALU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r>
                      <a:rPr lang="en-US" sz="1000" b="1" i="0" u="none" strike="noStrike" kern="1200" spc="0" baseline="0">
                        <a:solidFill>
                          <a:srgbClr val="4F81BD"/>
                        </a:solidFill>
                        <a:latin typeface="Toyota Type Light" panose="020B0302020202020204" pitchFamily="34" charset="0"/>
                        <a:cs typeface="Toyota Type Light" panose="020B0302020202020204" pitchFamily="34" charset="0"/>
                      </a:rPr>
                      <a:t>%</a:t>
                    </a:r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69A6-4833-A724-2606404AF0B4}"/>
                </c:ext>
              </c:extLst>
            </c:dLbl>
            <c:dLbl>
              <c:idx val="2"/>
              <c:layout>
                <c:manualLayout>
                  <c:x val="-3.3550882775681273E-2"/>
                  <c:y val="0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4C7675EC-56C0-416A-8CA5-3FEAA54881BA}" type="CELLRANG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[CELLRANGE]</a:t>
                    </a:fld>
                    <a:r>
                      <a:rPr lang="en-US" sz="1000" baseline="0"/>
                      <a:t>, </a:t>
                    </a:r>
                    <a:fld id="{D15D3228-5235-4E56-8E4F-11178C699ABA}" type="VALU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r>
                      <a:rPr lang="en-US" sz="1000" b="1" i="0" u="none" strike="noStrike" kern="1200" spc="0" baseline="0">
                        <a:solidFill>
                          <a:srgbClr val="4F81BD"/>
                        </a:solidFill>
                        <a:latin typeface="Toyota Type Light" panose="020B0302020202020204" pitchFamily="34" charset="0"/>
                        <a:cs typeface="Toyota Type Light" panose="020B0302020202020204" pitchFamily="34" charset="0"/>
                      </a:rPr>
                      <a:t>%</a:t>
                    </a:r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69A6-4833-A724-2606404AF0B4}"/>
                </c:ext>
              </c:extLst>
            </c:dLbl>
            <c:dLbl>
              <c:idx val="3"/>
              <c:layout>
                <c:manualLayout>
                  <c:x val="-0.12342690859294762"/>
                  <c:y val="9.482211111443764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759AD79D-63D2-4611-A361-86BAAA0F5F63}" type="CELLRANG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[CELLRANGE]</a:t>
                    </a:fld>
                    <a:r>
                      <a:rPr lang="en-US" sz="1000" baseline="0"/>
                      <a:t>, </a:t>
                    </a:r>
                    <a:fld id="{1CD5AEDA-3648-4D40-96E9-F63712B108BA}" type="VALU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r>
                      <a:rPr lang="en-US" sz="1000" b="1" i="0" u="none" strike="noStrike" kern="1200" spc="0" baseline="0">
                        <a:solidFill>
                          <a:srgbClr val="4F81BD"/>
                        </a:solidFill>
                        <a:latin typeface="Toyota Type Light" panose="020B0302020202020204" pitchFamily="34" charset="0"/>
                        <a:cs typeface="Toyota Type Light" panose="020B0302020202020204" pitchFamily="34" charset="0"/>
                      </a:rPr>
                      <a:t>%</a:t>
                    </a:r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69A6-4833-A724-2606404AF0B4}"/>
                </c:ext>
              </c:extLst>
            </c:dLbl>
            <c:dLbl>
              <c:idx val="4"/>
              <c:layout>
                <c:manualLayout>
                  <c:x val="-0.2249309597169919"/>
                  <c:y val="2.8803528836461516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7B86DE16-7308-488A-AAA5-094BCFF734CA}" type="CELLRANG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[CELLRANGE]</a:t>
                    </a:fld>
                    <a:r>
                      <a:rPr lang="en-US" sz="1000" baseline="0"/>
                      <a:t>, </a:t>
                    </a:r>
                    <a:fld id="{899190B7-810D-4D38-A52A-14696662BC4A}" type="VALU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r>
                      <a:rPr lang="en-US" sz="1000" b="1" i="0" u="none" strike="noStrike" kern="1200" spc="0" baseline="0">
                        <a:solidFill>
                          <a:srgbClr val="4F81BD"/>
                        </a:solidFill>
                        <a:latin typeface="Toyota Type Light" panose="020B0302020202020204" pitchFamily="34" charset="0"/>
                        <a:cs typeface="Toyota Type Light" panose="020B0302020202020204" pitchFamily="34" charset="0"/>
                      </a:rPr>
                      <a:t>%</a:t>
                    </a:r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0726708074534161"/>
                      <c:h val="6.805710738671633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69A6-4833-A724-2606404AF0B4}"/>
                </c:ext>
              </c:extLst>
            </c:dLbl>
            <c:dLbl>
              <c:idx val="5"/>
              <c:layout>
                <c:manualLayout>
                  <c:x val="-0.28525032197062322"/>
                  <c:y val="-8.376914862828457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E70B4B64-CE06-471A-8CE0-4585C85CA1E8}" type="CELLRANG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[CELLRANGE]</a:t>
                    </a:fld>
                    <a:r>
                      <a:rPr lang="en-US" sz="1000" baseline="0"/>
                      <a:t>, </a:t>
                    </a:r>
                    <a:fld id="{464E7521-14D1-430C-907F-7B6E716A5028}" type="VALU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r>
                      <a:rPr lang="en-US" sz="1000" b="1" i="0" u="none" strike="noStrike" kern="1200" spc="0" baseline="0">
                        <a:solidFill>
                          <a:srgbClr val="4F81BD"/>
                        </a:solidFill>
                        <a:latin typeface="Toyota Type Light" panose="020B0302020202020204" pitchFamily="34" charset="0"/>
                        <a:cs typeface="Toyota Type Light" panose="020B0302020202020204" pitchFamily="34" charset="0"/>
                      </a:rPr>
                      <a:t>%</a:t>
                    </a:r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1331262939958592"/>
                      <c:h val="6.805710738671633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69A6-4833-A724-2606404AF0B4}"/>
                </c:ext>
              </c:extLst>
            </c:dLbl>
            <c:dLbl>
              <c:idx val="6"/>
              <c:layout>
                <c:manualLayout>
                  <c:x val="-0.20081071387815652"/>
                  <c:y val="-0.1551504445974671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E6BAB2F5-AA61-4480-A626-2D53D67F14A5}" type="CELLRANG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[CELLRANGE]</a:t>
                    </a:fld>
                    <a:r>
                      <a:rPr lang="en-US" sz="1000" baseline="0"/>
                      <a:t>, </a:t>
                    </a:r>
                    <a:fld id="{44079165-1CF4-45D4-BE9A-F646A9912A07}" type="VALU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r>
                      <a:rPr lang="en-US" sz="1000" b="1" i="0" u="none" strike="noStrike" kern="1200" spc="0" baseline="0">
                        <a:solidFill>
                          <a:srgbClr val="4F81BD"/>
                        </a:solidFill>
                        <a:latin typeface="Toyota Type Light" panose="020B0302020202020204" pitchFamily="34" charset="0"/>
                        <a:cs typeface="Toyota Type Light" panose="020B0302020202020204" pitchFamily="34" charset="0"/>
                      </a:rPr>
                      <a:t>%</a:t>
                    </a:r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69A6-4833-A724-2606404AF0B4}"/>
                </c:ext>
              </c:extLst>
            </c:dLbl>
            <c:dLbl>
              <c:idx val="7"/>
              <c:layout>
                <c:manualLayout>
                  <c:x val="-3.6881857159159454E-2"/>
                  <c:y val="-0.1261127910342005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A8133AED-F381-4C0B-B556-5EA88CF29989}" type="CELLRANG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[CELLRANGE]</a:t>
                    </a:fld>
                    <a:r>
                      <a:rPr lang="en-US" sz="1000" baseline="0"/>
                      <a:t>, </a:t>
                    </a:r>
                    <a:fld id="{04E2D09E-35D9-46EB-8F78-7605ED98C187}" type="VALUE">
                      <a:rPr lang="en-US" sz="1000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r>
                      <a:rPr lang="en-US" sz="1000" baseline="0"/>
                      <a:t>%</a:t>
                    </a:r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69A6-4833-A724-2606404AF0B4}"/>
                </c:ext>
              </c:extLst>
            </c:dLbl>
            <c:dLbl>
              <c:idx val="8"/>
              <c:layout>
                <c:manualLayout>
                  <c:x val="0.17391304347826078"/>
                  <c:y val="-0.1318124899192070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710C1D8B-930C-4952-ADD1-E64CDF4B13A6}" type="CATEGORYNAME">
                      <a:rPr lang="en-US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[CATEGORY NAME]</a:t>
                    </a:fld>
                    <a:r>
                      <a:rPr lang="en-US" baseline="0"/>
                      <a:t>, </a:t>
                    </a:r>
                    <a:fld id="{5633C236-4373-478A-9B48-53EE2252C05F}" type="VALUE">
                      <a:rPr lang="en-US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69A6-4833-A724-2606404AF0B4}"/>
                </c:ext>
              </c:extLst>
            </c:dLbl>
            <c:dLbl>
              <c:idx val="9"/>
              <c:layout>
                <c:manualLayout>
                  <c:x val="0.35403726708074534"/>
                  <c:y val="-2.819493931973587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F45BC810-C60F-4574-96D4-1959CB1F77C0}" type="CATEGORYNAME">
                      <a:rPr lang="en-US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[CATEGORY NAME]</a:t>
                    </a:fld>
                    <a:r>
                      <a:rPr lang="en-US" baseline="0"/>
                      <a:t>, </a:t>
                    </a:r>
                    <a:fld id="{F930168F-4891-4097-AD6E-BA66CA7B05D6}" type="VALUE">
                      <a:rPr lang="en-US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69A6-4833-A724-2606404AF0B4}"/>
                </c:ext>
              </c:extLst>
            </c:dLbl>
            <c:dLbl>
              <c:idx val="10"/>
              <c:layout>
                <c:manualLayout>
                  <c:x val="0.20910973084886128"/>
                  <c:y val="-7.614950365841141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0298FE76-53CA-4390-B1FB-D710C40A9B79}" type="CATEGORYNAME">
                      <a:rPr lang="en-US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[CATEGORY NAME]</a:t>
                    </a:fld>
                    <a:r>
                      <a:rPr lang="en-US" baseline="0"/>
                      <a:t>, </a:t>
                    </a:r>
                    <a:fld id="{9D47D7F2-283D-47BA-B4A9-F1275FC905F7}" type="VALUE">
                      <a:rPr lang="en-US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69A6-4833-A724-2606404AF0B4}"/>
                </c:ext>
              </c:extLst>
            </c:dLbl>
            <c:dLbl>
              <c:idx val="11"/>
              <c:layout>
                <c:manualLayout>
                  <c:x val="0.2774327122153209"/>
                  <c:y val="2.027883396704689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fld id="{F2EEF346-BC2A-406B-90C4-A66517A4E590}" type="CATEGORYNAME">
                      <a:rPr lang="en-US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[CATEGORY NAME]</a:t>
                    </a:fld>
                    <a:r>
                      <a:rPr lang="en-US" baseline="0"/>
                      <a:t>, </a:t>
                    </a:r>
                    <a:fld id="{E7DB08F9-E45F-4BD3-9FFA-370DCC8D9E40}" type="VALUE">
                      <a:rPr lang="en-US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69A6-4833-A724-2606404AF0B4}"/>
                </c:ext>
              </c:extLst>
            </c:dLbl>
            <c:dLbl>
              <c:idx val="1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Toyota Type Light" panose="020B0302020202020204" pitchFamily="34" charset="0"/>
                        <a:ea typeface="+mn-ea"/>
                        <a:cs typeface="Toyota Type Light" panose="020B0302020202020204" pitchFamily="34" charset="0"/>
                      </a:defRPr>
                    </a:pPr>
                    <a:r>
                      <a:rPr lang="en-US"/>
                      <a:t>Paid Video</a:t>
                    </a:r>
                    <a:r>
                      <a:rPr lang="en-US" baseline="0"/>
                      <a:t>, </a:t>
                    </a:r>
                    <a:fld id="{D95B3EC9-E013-4103-A72F-A9D4C307B085}" type="VALUE">
                      <a:rPr lang="en-US" baseline="0"/>
                      <a:pPr>
                        <a:defRPr sz="1000">
                          <a:solidFill>
                            <a:schemeClr val="accent1"/>
                          </a:solidFill>
                          <a:latin typeface="Toyota Type Light" panose="020B0302020202020204" pitchFamily="34" charset="0"/>
                          <a:cs typeface="Toyota Type Light" panose="020B0302020202020204" pitchFamily="34" charset="0"/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numFmt formatCode="#,##0.00_ ;\-#,##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Toyota Type Light" panose="020B0302020202020204" pitchFamily="34" charset="0"/>
                      <a:ea typeface="+mn-ea"/>
                      <a:cs typeface="Toyota Type Light" panose="020B0302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69A6-4833-A724-2606404AF0B4}"/>
                </c:ext>
              </c:extLst>
            </c:dLbl>
            <c:numFmt formatCode="#,##0.00_ ;\-#,##0.0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Toyota Type Light" panose="020B0302020202020204" pitchFamily="34" charset="0"/>
                    <a:ea typeface="+mn-ea"/>
                    <a:cs typeface="Toyota Type Light" panose="020B0302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'Traffic source'!$A$23:$A$35</c:f>
              <c:strCache>
                <c:ptCount val="13"/>
                <c:pt idx="0">
                  <c:v>Organic Search</c:v>
                </c:pt>
                <c:pt idx="1">
                  <c:v>Paid Search</c:v>
                </c:pt>
                <c:pt idx="2">
                  <c:v>Display</c:v>
                </c:pt>
                <c:pt idx="3">
                  <c:v>Organic Social</c:v>
                </c:pt>
                <c:pt idx="4">
                  <c:v>Paid Social</c:v>
                </c:pt>
                <c:pt idx="5">
                  <c:v>Direct</c:v>
                </c:pt>
                <c:pt idx="6">
                  <c:v>Unassigned</c:v>
                </c:pt>
                <c:pt idx="7">
                  <c:v>Paid Shopping</c:v>
                </c:pt>
                <c:pt idx="8">
                  <c:v>Cross-network</c:v>
                </c:pt>
                <c:pt idx="9">
                  <c:v>Referral</c:v>
                </c:pt>
                <c:pt idx="10">
                  <c:v>Organic Shopping</c:v>
                </c:pt>
                <c:pt idx="11">
                  <c:v>Paid Other</c:v>
                </c:pt>
                <c:pt idx="12">
                  <c:v>Mobile Push Notifications</c:v>
                </c:pt>
              </c:strCache>
            </c:strRef>
          </c:cat>
          <c:val>
            <c:numRef>
              <c:f>'Traffic source'!$C$23:$C$35</c:f>
              <c:numCache>
                <c:formatCode>0.00</c:formatCode>
                <c:ptCount val="13"/>
                <c:pt idx="0">
                  <c:v>24.527266176101399</c:v>
                </c:pt>
                <c:pt idx="1">
                  <c:v>17.542759696295267</c:v>
                </c:pt>
                <c:pt idx="2">
                  <c:v>15.269353458910064</c:v>
                </c:pt>
                <c:pt idx="3">
                  <c:v>8.1281037011792385</c:v>
                </c:pt>
                <c:pt idx="4">
                  <c:v>7.798487546605652</c:v>
                </c:pt>
                <c:pt idx="5">
                  <c:v>6.7699654731197194</c:v>
                </c:pt>
                <c:pt idx="6">
                  <c:v>3.0087338308360638</c:v>
                </c:pt>
                <c:pt idx="7">
                  <c:v>1.3147790917041398</c:v>
                </c:pt>
                <c:pt idx="8">
                  <c:v>0.63252308115226041</c:v>
                </c:pt>
                <c:pt idx="9">
                  <c:v>0.45206235564117542</c:v>
                </c:pt>
                <c:pt idx="10">
                  <c:v>0.2577700656327247</c:v>
                </c:pt>
                <c:pt idx="11">
                  <c:v>0.22303939741206658</c:v>
                </c:pt>
                <c:pt idx="12">
                  <c:v>2.6926023676689999E-2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('Traffic source'!$A$2:$A$9,'Traffic source'!$C$2:$C$9)</c15:f>
                <c15:dlblRangeCache>
                  <c:ptCount val="16"/>
                  <c:pt idx="0">
                    <c:v>Organic Search</c:v>
                  </c:pt>
                  <c:pt idx="1">
                    <c:v>Paid Search</c:v>
                  </c:pt>
                  <c:pt idx="2">
                    <c:v>Display</c:v>
                  </c:pt>
                  <c:pt idx="3">
                    <c:v>Organic Social</c:v>
                  </c:pt>
                  <c:pt idx="4">
                    <c:v>Paid Social</c:v>
                  </c:pt>
                  <c:pt idx="5">
                    <c:v>Direct</c:v>
                  </c:pt>
                  <c:pt idx="6">
                    <c:v>Unassigned</c:v>
                  </c:pt>
                  <c:pt idx="7">
                    <c:v>Paid Shopping</c:v>
                  </c:pt>
                  <c:pt idx="8">
                    <c:v>34.99</c:v>
                  </c:pt>
                  <c:pt idx="9">
                    <c:v>18.03</c:v>
                  </c:pt>
                  <c:pt idx="10">
                    <c:v>16.14</c:v>
                  </c:pt>
                  <c:pt idx="11">
                    <c:v>8.36</c:v>
                  </c:pt>
                  <c:pt idx="12">
                    <c:v>7.89</c:v>
                  </c:pt>
                  <c:pt idx="13">
                    <c:v>7.68</c:v>
                  </c:pt>
                  <c:pt idx="14">
                    <c:v>3.69</c:v>
                  </c:pt>
                  <c:pt idx="15">
                    <c:v>1.33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A-69A6-4833-A724-2606404AF0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Toyota Type Light" panose="020B0302020202020204" pitchFamily="34" charset="0"/>
                <a:ea typeface="+mn-ea"/>
                <a:cs typeface="Toyota Type Light" panose="020B0302020202020204" pitchFamily="34" charset="0"/>
              </a:defRPr>
            </a:pPr>
            <a:r>
              <a:rPr lang="en-US">
                <a:latin typeface="Toyota Type Light" panose="020B0302020202020204" pitchFamily="34" charset="0"/>
                <a:cs typeface="Toyota Type Light" panose="020B0302020202020204" pitchFamily="34" charset="0"/>
              </a:rPr>
              <a:t>Gender</a:t>
            </a:r>
          </a:p>
        </c:rich>
      </c:tx>
      <c:layout>
        <c:manualLayout>
          <c:xMode val="edge"/>
          <c:yMode val="edge"/>
          <c:x val="0.390398890090774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oyota Type Light" panose="020B0302020202020204" pitchFamily="34" charset="0"/>
              <a:ea typeface="+mn-ea"/>
              <a:cs typeface="Toyota Type Light" panose="020B0302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9801891046315"/>
          <c:y val="0.1194864830619852"/>
          <c:w val="0.6586474592942595"/>
          <c:h val="0.7632043383036705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1-640F-4F2C-982F-98652F74F8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3-640F-4F2C-982F-98652F74F8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640F-4F2C-982F-98652F74F899}"/>
              </c:ext>
            </c:extLst>
          </c:dPt>
          <c:dLbls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97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'age&amp;gender'!$A$31:$A$33</c:f>
              <c:strCache>
                <c:ptCount val="3"/>
                <c:pt idx="0">
                  <c:v>unknown</c:v>
                </c:pt>
                <c:pt idx="1">
                  <c:v>male</c:v>
                </c:pt>
                <c:pt idx="2">
                  <c:v>female</c:v>
                </c:pt>
              </c:strCache>
            </c:strRef>
          </c:cat>
          <c:val>
            <c:numRef>
              <c:f>'age&amp;gender'!$C$31:$C$33</c:f>
              <c:numCache>
                <c:formatCode>0.00%</c:formatCode>
                <c:ptCount val="3"/>
                <c:pt idx="0">
                  <c:v>0.74501489169538127</c:v>
                </c:pt>
                <c:pt idx="1">
                  <c:v>0.21126392316067291</c:v>
                </c:pt>
                <c:pt idx="2">
                  <c:v>3.7595406359657968E-2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'age&amp;gender'!$A$31:$A$33</c15:sqref>
                        </c15:formulaRef>
                      </c:ext>
                    </c:extLst>
                    <c:strCache>
                      <c:ptCount val="3"/>
                      <c:pt idx="0">
                        <c:v>unknown</c:v>
                      </c:pt>
                      <c:pt idx="1">
                        <c:v>male</c:v>
                      </c:pt>
                      <c:pt idx="2">
                        <c:v>female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640F-4F2C-982F-98652F74F89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extLst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oyota Type Light" panose="020B0302020202020204" pitchFamily="34" charset="0"/>
                <a:ea typeface="+mn-ea"/>
                <a:cs typeface="Toyota Type Light" panose="020B0302020202020204" pitchFamily="34" charset="0"/>
              </a:defRPr>
            </a:pPr>
            <a:r>
              <a:rPr lang="en-US">
                <a:latin typeface="Toyota Type Light" panose="020B0302020202020204" pitchFamily="34" charset="0"/>
                <a:cs typeface="Toyota Type Light" panose="020B0302020202020204" pitchFamily="34" charset="0"/>
              </a:rPr>
              <a:t>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oyota Type Light" panose="020B0302020202020204" pitchFamily="34" charset="0"/>
              <a:ea typeface="+mn-ea"/>
              <a:cs typeface="Toyota Type Light" panose="020B0302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29152195799055"/>
          <c:y val="0.10928878526529906"/>
          <c:w val="0.83822348859465234"/>
          <c:h val="0.80730267316624937"/>
        </c:manualLayout>
      </c:layout>
      <c:barChart>
        <c:barDir val="bar"/>
        <c:grouping val="clustered"/>
        <c:varyColors val="0"/>
        <c:ser>
          <c:idx val="1"/>
          <c:order val="1"/>
          <c:tx>
            <c:strRef>
              <c:f>'age&amp;gender'!$A$2:$A$8</c:f>
              <c:strCache>
                <c:ptCount val="7"/>
                <c:pt idx="0">
                  <c:v>unknown</c:v>
                </c:pt>
                <c:pt idx="1">
                  <c:v>25-34</c:v>
                </c:pt>
                <c:pt idx="2">
                  <c:v>35-44</c:v>
                </c:pt>
                <c:pt idx="3">
                  <c:v>18-24</c:v>
                </c:pt>
                <c:pt idx="4">
                  <c:v>45-54</c:v>
                </c:pt>
                <c:pt idx="5">
                  <c:v>55-64</c:v>
                </c:pt>
                <c:pt idx="6">
                  <c:v>65+</c:v>
                </c:pt>
              </c:strCache>
            </c:strRef>
          </c:tx>
          <c:spPr>
            <a:solidFill>
              <a:schemeClr val="accent1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'age&amp;gender'!$A$2:$A$8</c:f>
              <c:strCache>
                <c:ptCount val="7"/>
                <c:pt idx="0">
                  <c:v>unknown</c:v>
                </c:pt>
                <c:pt idx="1">
                  <c:v>25-34</c:v>
                </c:pt>
                <c:pt idx="2">
                  <c:v>35-44</c:v>
                </c:pt>
                <c:pt idx="3">
                  <c:v>18-24</c:v>
                </c:pt>
                <c:pt idx="4">
                  <c:v>45-54</c:v>
                </c:pt>
                <c:pt idx="5">
                  <c:v>55-64</c:v>
                </c:pt>
                <c:pt idx="6">
                  <c:v>65+</c:v>
                </c:pt>
              </c:strCache>
            </c:strRef>
          </c:cat>
          <c:val>
            <c:numRef>
              <c:f>'age&amp;gender'!$C$2:$C$8</c:f>
              <c:numCache>
                <c:formatCode>0.00%</c:formatCode>
                <c:ptCount val="7"/>
                <c:pt idx="0">
                  <c:v>0.77117389224994459</c:v>
                </c:pt>
                <c:pt idx="1">
                  <c:v>7.0848395213324783E-2</c:v>
                </c:pt>
                <c:pt idx="2">
                  <c:v>5.3561107548435405E-2</c:v>
                </c:pt>
                <c:pt idx="3">
                  <c:v>5.0326515976324177E-2</c:v>
                </c:pt>
                <c:pt idx="4">
                  <c:v>2.7786268941980705E-2</c:v>
                </c:pt>
                <c:pt idx="5">
                  <c:v>1.4328893791361905E-2</c:v>
                </c:pt>
                <c:pt idx="6">
                  <c:v>8.5118320579243376E-3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C2AE-4E0F-AA8D-CA294F3A0069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18096431"/>
        <c:axId val="23760231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'age&amp;gender'!$A$3:$A$8</c15:sqref>
                        </c15:formulaRef>
                      </c:ext>
                    </c:extLst>
                    <c:strCache>
                      <c:ptCount val="6"/>
                      <c:pt idx="0">
                        <c:v>25-34</c:v>
                      </c:pt>
                      <c:pt idx="1">
                        <c:v>35-44</c:v>
                      </c:pt>
                      <c:pt idx="2">
                        <c:v>18-24</c:v>
                      </c:pt>
                      <c:pt idx="3">
                        <c:v>45-54</c:v>
                      </c:pt>
                      <c:pt idx="4">
                        <c:v>55-64</c:v>
                      </c:pt>
                      <c:pt idx="5">
                        <c:v>65+</c:v>
                      </c:pt>
                    </c:strCache>
                  </c:strRef>
                </c:tx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fld id="{2180855A-E9C3-4E27-AE05-4E62567F61F7}" type="CELLRANGE">
                            <a:rPr lang="en-US"/>
                            <a:pPr/>
                            <a:t>[CELLRANGE]</a:t>
                          </a:fld>
                          <a:r>
                            <a:rPr lang="en-US"/>
                            <a:t> %</a:t>
                          </a:r>
                        </a:p>
                      </c:rich>
                    </c:tx>
                    <c:dLblPos val="inBase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0-C2AE-4E0F-AA8D-CA294F3A0069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fld id="{108A1C90-2211-4079-9372-185CFAAB6798}" type="CELLRANGE">
                            <a:rPr lang="en-US"/>
                            <a:pPr/>
                            <a:t>[CELLRANGE]</a:t>
                          </a:fld>
                          <a:r>
                            <a:rPr lang="en-US"/>
                            <a:t> %</a:t>
                          </a:r>
                        </a:p>
                      </c:rich>
                    </c:tx>
                    <c:dLblPos val="inBase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1-C2AE-4E0F-AA8D-CA294F3A0069}"/>
                      </c:ext>
                    </c:extLst>
                  </c:dLbl>
                  <c:dLbl>
                    <c:idx val="2"/>
                    <c:tx>
                      <c:rich>
                        <a:bodyPr/>
                        <a:lstStyle/>
                        <a:p>
                          <a:fld id="{09251D30-22E1-4896-B17C-B6DB99532666}" type="CELLRANGE">
                            <a:rPr lang="en-US"/>
                            <a:pPr/>
                            <a:t>[CELLRANGE]</a:t>
                          </a:fld>
                          <a:r>
                            <a:rPr lang="en-US"/>
                            <a:t> %</a:t>
                          </a:r>
                        </a:p>
                      </c:rich>
                    </c:tx>
                    <c:dLblPos val="inBase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2-C2AE-4E0F-AA8D-CA294F3A0069}"/>
                      </c:ext>
                    </c:extLst>
                  </c:dLbl>
                  <c:dLbl>
                    <c:idx val="3"/>
                    <c:tx>
                      <c:rich>
                        <a:bodyPr/>
                        <a:lstStyle/>
                        <a:p>
                          <a:fld id="{DAEFD41B-B47D-4581-B77E-47C6E11FD345}" type="CELLRANGE">
                            <a:rPr lang="en-US"/>
                            <a:pPr/>
                            <a:t>[CELLRANGE]</a:t>
                          </a:fld>
                          <a:r>
                            <a:rPr lang="en-US"/>
                            <a:t> %</a:t>
                          </a:r>
                        </a:p>
                      </c:rich>
                    </c:tx>
                    <c:dLblPos val="inBase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3-C2AE-4E0F-AA8D-CA294F3A0069}"/>
                      </c:ext>
                    </c:extLst>
                  </c:dLbl>
                  <c:dLbl>
                    <c:idx val="4"/>
                    <c:tx>
                      <c:rich>
                        <a:bodyPr/>
                        <a:lstStyle/>
                        <a:p>
                          <a:fld id="{0684A8F3-7314-40B5-8631-2B2A7F1E2714}" type="CELLRANGE">
                            <a:rPr lang="en-US"/>
                            <a:pPr/>
                            <a:t>[CELLRANGE]</a:t>
                          </a:fld>
                          <a:r>
                            <a:rPr lang="en-US"/>
                            <a:t> %</a:t>
                          </a:r>
                        </a:p>
                      </c:rich>
                    </c:tx>
                    <c:dLblPos val="inBase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4-C2AE-4E0F-AA8D-CA294F3A0069}"/>
                      </c:ext>
                    </c:extLst>
                  </c:dLbl>
                  <c:dLbl>
                    <c:idx val="5"/>
                    <c:layout>
                      <c:manualLayout>
                        <c:x val="-9.8981622871747457E-2"/>
                        <c:y val="0"/>
                      </c:manualLayout>
                    </c:layout>
                    <c:tx>
                      <c:rich>
                        <a:bodyPr/>
                        <a:lstStyle/>
                        <a:p>
                          <a:r>
                            <a:rPr lang="en-US"/>
                            <a:t>1.27%</a:t>
                          </a:r>
                        </a:p>
                      </c:rich>
                    </c:tx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5-C2AE-4E0F-AA8D-CA294F3A0069}"/>
                      </c:ext>
                    </c:extLst>
                  </c:dLbl>
                  <c:numFmt formatCode="0.00%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97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DataLabelsRange val="1"/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'age&amp;gender'!$A$2:$A$8</c15:sqref>
                        </c15:formulaRef>
                      </c:ext>
                    </c:extLst>
                    <c:strCache>
                      <c:ptCount val="7"/>
                      <c:pt idx="0">
                        <c:v>unknown</c:v>
                      </c:pt>
                      <c:pt idx="1">
                        <c:v>25-34</c:v>
                      </c:pt>
                      <c:pt idx="2">
                        <c:v>35-44</c:v>
                      </c:pt>
                      <c:pt idx="3">
                        <c:v>18-24</c:v>
                      </c:pt>
                      <c:pt idx="4">
                        <c:v>45-54</c:v>
                      </c:pt>
                      <c:pt idx="5">
                        <c:v>55-64</c:v>
                      </c:pt>
                      <c:pt idx="6">
                        <c:v>65+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'age&amp;gender'!$C$3:$C$8</c15:sqref>
                        </c15:formulaRef>
                      </c:ext>
                    </c:extLst>
                    <c:numCache>
                      <c:formatCode>0.00%</c:formatCode>
                      <c:ptCount val="6"/>
                      <c:pt idx="0">
                        <c:v>7.0848395213324783E-2</c:v>
                      </c:pt>
                      <c:pt idx="1">
                        <c:v>5.3561107548435405E-2</c:v>
                      </c:pt>
                      <c:pt idx="2">
                        <c:v>5.0326515976324177E-2</c:v>
                      </c:pt>
                      <c:pt idx="3">
                        <c:v>2.7786268941980705E-2</c:v>
                      </c:pt>
                      <c:pt idx="4">
                        <c:v>1.4328893791361905E-2</c:v>
                      </c:pt>
                      <c:pt idx="5">
                        <c:v>8.5118320579243376E-3</c:v>
                      </c:pt>
                    </c:numCache>
                  </c:numRef>
                </c:val>
                <c:extLst>
                  <c:ext uri="{02D57815-91ED-43cb-92C2-25804820EDAC}">
                    <c15:datalabelsRange>
                      <c15:f>'age&amp;gender'!$C$3:$C$8</c15:f>
                      <c15:dlblRangeCache>
                        <c:ptCount val="6"/>
                        <c:pt idx="0">
                          <c:v>7.08%</c:v>
                        </c:pt>
                        <c:pt idx="1">
                          <c:v>5.36%</c:v>
                        </c:pt>
                        <c:pt idx="2">
                          <c:v>5.03%</c:v>
                        </c:pt>
                        <c:pt idx="3">
                          <c:v>2.78%</c:v>
                        </c:pt>
                        <c:pt idx="4">
                          <c:v>1.43%</c:v>
                        </c:pt>
                        <c:pt idx="5">
                          <c:v>0.85%</c:v>
                        </c:pt>
                      </c15:dlblRangeCache>
                    </c15:datalabelsRange>
                  </c:ext>
                  <c:ext xmlns:c16="http://schemas.microsoft.com/office/drawing/2014/chart" uri="{C3380CC4-5D6E-409C-BE32-E72D297353CC}">
                    <c16:uniqueId val="{00000006-C2AE-4E0F-AA8D-CA294F3A0069}"/>
                  </c:ext>
                </c:extLst>
              </c15:ser>
            </c15:filteredBarSeries>
          </c:ext>
        </c:extLst>
      </c:barChart>
      <c:catAx>
        <c:axId val="318096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97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602319"/>
        <c:crossesAt val="0"/>
        <c:auto val="1"/>
        <c:lblAlgn val="ctr"/>
        <c:lblOffset val="100"/>
        <c:noMultiLvlLbl val="0"/>
      </c:catAx>
      <c:valAx>
        <c:axId val="23760231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97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096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7754945743722332"/>
          <c:y val="3.1372549019607843E-2"/>
          <c:w val="0.46105750773690601"/>
          <c:h val="0.8658891462096649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sesionIntrest!$A$2:$A$11</c:f>
              <c:strCache>
                <c:ptCount val="10"/>
                <c:pt idx="0">
                  <c:v>Banking &amp; Finance/Avid Investors</c:v>
                </c:pt>
                <c:pt idx="1">
                  <c:v>News &amp; Politics/Avid News Readers/Entertainment News Enthusiasts</c:v>
                </c:pt>
                <c:pt idx="2">
                  <c:v>Technology/Technophiles</c:v>
                </c:pt>
                <c:pt idx="3">
                  <c:v>Media &amp; Entertainment/Movie Lovers/Fans of South Asian Film</c:v>
                </c:pt>
                <c:pt idx="4">
                  <c:v>Travel/Travel Buffs</c:v>
                </c:pt>
                <c:pt idx="5">
                  <c:v>News &amp; Politics/Avid News Readers/Avid Business News Readers</c:v>
                </c:pt>
                <c:pt idx="6">
                  <c:v>News &amp; Politics/Avid News Readers</c:v>
                </c:pt>
                <c:pt idx="7">
                  <c:v>Vehicles &amp; Transportation/Auto Enthusiasts</c:v>
                </c:pt>
                <c:pt idx="8">
                  <c:v>Technology/Mobile Enthusiasts</c:v>
                </c:pt>
                <c:pt idx="9">
                  <c:v>Sports &amp; Fitness/Sports Fans/Cricket Enthusiasts</c:v>
                </c:pt>
              </c:strCache>
            </c:strRef>
          </c:cat>
          <c:val>
            <c:numRef>
              <c:f>sesionIntrest!$B$2:$B$11</c:f>
              <c:numCache>
                <c:formatCode>#,##0_);\(#,##0\)</c:formatCode>
                <c:ptCount val="10"/>
                <c:pt idx="0">
                  <c:v>76888</c:v>
                </c:pt>
                <c:pt idx="1">
                  <c:v>75638</c:v>
                </c:pt>
                <c:pt idx="2">
                  <c:v>69915</c:v>
                </c:pt>
                <c:pt idx="3">
                  <c:v>68535</c:v>
                </c:pt>
                <c:pt idx="4">
                  <c:v>67516</c:v>
                </c:pt>
                <c:pt idx="5">
                  <c:v>57592</c:v>
                </c:pt>
                <c:pt idx="6">
                  <c:v>57074</c:v>
                </c:pt>
                <c:pt idx="7">
                  <c:v>56912</c:v>
                </c:pt>
                <c:pt idx="8">
                  <c:v>55941</c:v>
                </c:pt>
                <c:pt idx="9">
                  <c:v>48631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01-4580-99B3-A6E44780370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88171512"/>
        <c:axId val="588163968"/>
      </c:barChart>
      <c:catAx>
        <c:axId val="588171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163968"/>
        <c:crosses val="autoZero"/>
        <c:auto val="1"/>
        <c:lblAlgn val="ctr"/>
        <c:lblOffset val="100"/>
        <c:noMultiLvlLbl val="0"/>
      </c:catAx>
      <c:valAx>
        <c:axId val="58816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171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271852233507087E-2"/>
          <c:y val="6.3577520921045003E-2"/>
          <c:w val="0.91000472221308082"/>
          <c:h val="0.67318078829890005"/>
        </c:manualLayout>
      </c:layout>
      <c:lineChart>
        <c:grouping val="stacked"/>
        <c:varyColors val="0"/>
        <c:ser>
          <c:idx val="0"/>
          <c:order val="0"/>
          <c:tx>
            <c:strRef>
              <c:f>'Dealer-Website'!$B$1</c:f>
              <c:strCache>
                <c:ptCount val="1"/>
                <c:pt idx="0">
                  <c:v>Visits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3.7191418243315728E-4"/>
                  <c:y val="8.902335895364323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F8D-445C-A3D2-723B1C4BD714}"/>
                </c:ext>
              </c:extLst>
            </c:dLbl>
            <c:dLbl>
              <c:idx val="1"/>
              <c:layout>
                <c:manualLayout>
                  <c:x val="-1.1524056467876501E-3"/>
                  <c:y val="-1.34228187919463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F8D-445C-A3D2-723B1C4BD714}"/>
                </c:ext>
              </c:extLst>
            </c:dLbl>
            <c:dLbl>
              <c:idx val="2"/>
              <c:layout>
                <c:manualLayout>
                  <c:x val="-1.9061048331301705E-2"/>
                  <c:y val="-2.56072764174176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F8D-445C-A3D2-723B1C4BD714}"/>
                </c:ext>
              </c:extLst>
            </c:dLbl>
            <c:dLbl>
              <c:idx val="3"/>
              <c:layout>
                <c:manualLayout>
                  <c:x val="-2.4825662482566877E-2"/>
                  <c:y val="-2.64256228114683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F8D-445C-A3D2-723B1C4BD714}"/>
                </c:ext>
              </c:extLst>
            </c:dLbl>
            <c:dLbl>
              <c:idx val="4"/>
              <c:layout>
                <c:manualLayout>
                  <c:x val="-2.5476668972864276E-2"/>
                  <c:y val="-2.91755773965008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F8D-445C-A3D2-723B1C4BD714}"/>
                </c:ext>
              </c:extLst>
            </c:dLbl>
            <c:dLbl>
              <c:idx val="5"/>
              <c:layout>
                <c:manualLayout>
                  <c:x val="-2.6034402603440292E-2"/>
                  <c:y val="-3.50039777247424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F8D-445C-A3D2-723B1C4BD714}"/>
                </c:ext>
              </c:extLst>
            </c:dLbl>
            <c:dLbl>
              <c:idx val="6"/>
              <c:layout>
                <c:manualLayout>
                  <c:x val="-3.5146589939855824E-2"/>
                  <c:y val="-3.02875863667399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F8D-445C-A3D2-723B1C4BD714}"/>
                </c:ext>
              </c:extLst>
            </c:dLbl>
            <c:dLbl>
              <c:idx val="7"/>
              <c:layout>
                <c:manualLayout>
                  <c:x val="-3.4402749865471836E-2"/>
                  <c:y val="-3.44860591710045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F8D-445C-A3D2-723B1C4BD714}"/>
                </c:ext>
              </c:extLst>
            </c:dLbl>
            <c:dLbl>
              <c:idx val="8"/>
              <c:layout>
                <c:manualLayout>
                  <c:x val="-2.9753602975360411E-2"/>
                  <c:y val="-3.18217979315831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F8D-445C-A3D2-723B1C4BD714}"/>
                </c:ext>
              </c:extLst>
            </c:dLbl>
            <c:dLbl>
              <c:idx val="9"/>
              <c:layout>
                <c:manualLayout>
                  <c:x val="-3.6169370042133851E-2"/>
                  <c:y val="-3.47318637676264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F8D-445C-A3D2-723B1C4BD714}"/>
                </c:ext>
              </c:extLst>
            </c:dLbl>
            <c:dLbl>
              <c:idx val="10"/>
              <c:layout>
                <c:manualLayout>
                  <c:x val="-3.5425383542538352E-2"/>
                  <c:y val="-3.33778086808362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F8D-445C-A3D2-723B1C4BD714}"/>
                </c:ext>
              </c:extLst>
            </c:dLbl>
            <c:dLbl>
              <c:idx val="11"/>
              <c:layout>
                <c:manualLayout>
                  <c:x val="-3.282208970740582E-2"/>
                  <c:y val="-3.3267309366758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F8D-445C-A3D2-723B1C4BD714}"/>
                </c:ext>
              </c:extLst>
            </c:dLbl>
            <c:dLbl>
              <c:idx val="12"/>
              <c:layout>
                <c:manualLayout>
                  <c:x val="-3.6727250097921861E-2"/>
                  <c:y val="-3.23121542981351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F8D-445C-A3D2-723B1C4BD714}"/>
                </c:ext>
              </c:extLst>
            </c:dLbl>
            <c:dLbl>
              <c:idx val="13"/>
              <c:layout>
                <c:manualLayout>
                  <c:x val="-3.9702610395457888E-2"/>
                  <c:y val="-3.26243587093379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F8D-445C-A3D2-723B1C4BD714}"/>
                </c:ext>
              </c:extLst>
            </c:dLbl>
            <c:dLbl>
              <c:idx val="14"/>
              <c:layout>
                <c:manualLayout>
                  <c:x val="-2.2315202231520292E-2"/>
                  <c:y val="-3.18217979315831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F8D-445C-A3D2-723B1C4BD714}"/>
                </c:ext>
              </c:extLst>
            </c:dLbl>
            <c:dLbl>
              <c:idx val="15"/>
              <c:layout>
                <c:manualLayout>
                  <c:x val="-2.7894002789401042E-2"/>
                  <c:y val="-3.18217979315831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F8D-445C-A3D2-723B1C4BD714}"/>
                </c:ext>
              </c:extLst>
            </c:dLbl>
            <c:dLbl>
              <c:idx val="16"/>
              <c:layout>
                <c:manualLayout>
                  <c:x val="-2.4174802417480292E-2"/>
                  <c:y val="-3.91109095656240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F8D-445C-A3D2-723B1C4BD714}"/>
                </c:ext>
              </c:extLst>
            </c:dLbl>
            <c:dLbl>
              <c:idx val="17"/>
              <c:layout>
                <c:manualLayout>
                  <c:x val="0"/>
                  <c:y val="-2.09424083769633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F8D-445C-A3D2-723B1C4BD714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n-IN"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'Dealer-Website'!$A$2:$A$16</c:f>
              <c:strCache>
                <c:ptCount val="15"/>
                <c:pt idx="0">
                  <c:v>Ravindu Toyota</c:v>
                </c:pt>
                <c:pt idx="1">
                  <c:v>Millennium Toyota</c:v>
                </c:pt>
                <c:pt idx="2">
                  <c:v>Uttam Toyota</c:v>
                </c:pt>
                <c:pt idx="3">
                  <c:v>Nippon Toyota</c:v>
                </c:pt>
                <c:pt idx="4">
                  <c:v>Amana Toyota</c:v>
                </c:pt>
                <c:pt idx="5">
                  <c:v>Nandi Toyota</c:v>
                </c:pt>
                <c:pt idx="6">
                  <c:v>Harsha Toyota</c:v>
                </c:pt>
                <c:pt idx="7">
                  <c:v>Lanson Toyota</c:v>
                </c:pt>
                <c:pt idx="8">
                  <c:v>Anaamalais Toyota Trichy</c:v>
                </c:pt>
                <c:pt idx="9">
                  <c:v>Viva Toyota</c:v>
                </c:pt>
                <c:pt idx="10">
                  <c:v>Budha Toyota</c:v>
                </c:pt>
                <c:pt idx="11">
                  <c:v>Topsel Toyota</c:v>
                </c:pt>
                <c:pt idx="12">
                  <c:v>Globe Toyota</c:v>
                </c:pt>
                <c:pt idx="13">
                  <c:v> J D Toyota</c:v>
                </c:pt>
                <c:pt idx="14">
                  <c:v>Saini Toyota</c:v>
                </c:pt>
              </c:strCache>
            </c:strRef>
          </c:cat>
          <c:val>
            <c:numRef>
              <c:f>'Dealer-Website'!$B$2:$B$16</c:f>
              <c:numCache>
                <c:formatCode>General</c:formatCode>
                <c:ptCount val="15"/>
                <c:pt idx="0">
                  <c:v>19843</c:v>
                </c:pt>
                <c:pt idx="1">
                  <c:v>15560</c:v>
                </c:pt>
                <c:pt idx="2">
                  <c:v>15256</c:v>
                </c:pt>
                <c:pt idx="3">
                  <c:v>14535</c:v>
                </c:pt>
                <c:pt idx="4">
                  <c:v>9640</c:v>
                </c:pt>
                <c:pt idx="5">
                  <c:v>8309</c:v>
                </c:pt>
                <c:pt idx="6">
                  <c:v>7741</c:v>
                </c:pt>
                <c:pt idx="7">
                  <c:v>7534</c:v>
                </c:pt>
                <c:pt idx="8">
                  <c:v>7417</c:v>
                </c:pt>
                <c:pt idx="9">
                  <c:v>6283</c:v>
                </c:pt>
                <c:pt idx="10">
                  <c:v>4750</c:v>
                </c:pt>
                <c:pt idx="11">
                  <c:v>4289</c:v>
                </c:pt>
                <c:pt idx="12">
                  <c:v>4256</c:v>
                </c:pt>
                <c:pt idx="13">
                  <c:v>4178</c:v>
                </c:pt>
                <c:pt idx="14">
                  <c:v>3602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F8D-445C-A3D2-723B1C4BD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3175">
              <a:solidFill>
                <a:srgbClr val="000000"/>
              </a:solidFill>
              <a:prstDash val="sysDash"/>
            </a:ln>
          </c:spPr>
        </c:dropLines>
        <c:marker val="1"/>
        <c:smooth val="0"/>
        <c:axId val="449904920"/>
        <c:axId val="449902960"/>
      </c:lineChart>
      <c:catAx>
        <c:axId val="449904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lang="en-IN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99029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499029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IN"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990492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99" r="0.75000000000001199" t="1" header="0.5" footer="0.5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197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330" kern="1200"/>
  </cs:chartArea>
  <cs:dataLabel>
    <cs:lnRef idx="0"/>
    <cs:fillRef idx="0"/>
    <cs:effectRef idx="0"/>
    <cs:fontRef idx="minor">
      <cs:styleClr val="auto"/>
    </cs:fontRef>
    <cs:defRPr sz="133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33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2128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197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330" kern="1200"/>
  </cs:chartArea>
  <cs:dataLabel>
    <cs:lnRef idx="0"/>
    <cs:fillRef idx="0"/>
    <cs:effectRef idx="0"/>
    <cs:fontRef idx="minor">
      <cs:styleClr val="auto"/>
    </cs:fontRef>
    <cs:defRPr sz="133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33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2128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197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1197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197" kern="1200"/>
  </cs:chartArea>
  <cs:dataLabel>
    <cs:lnRef idx="0"/>
    <cs:fillRef idx="0"/>
    <cs:effectRef idx="0"/>
    <cs:fontRef idx="minor">
      <a:schemeClr val="lt1"/>
    </cs:fontRef>
    <cs:defRPr sz="1197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1197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197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1197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1197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22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1197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1197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1197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1197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1197" kern="1200"/>
  </cs:chartArea>
  <cs:dataLabel>
    <cs:lnRef idx="0"/>
    <cs:fillRef idx="0"/>
    <cs:effectRef idx="0"/>
    <cs:fontRef idx="minor">
      <a:schemeClr val="lt1"/>
    </cs:fontRef>
    <cs:defRPr sz="1197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197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1197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1197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1197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22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1197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1197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0</xdr:row>
      <xdr:rowOff>28575</xdr:rowOff>
    </xdr:from>
    <xdr:to>
      <xdr:col>18</xdr:col>
      <xdr:colOff>134144</xdr:colOff>
      <xdr:row>14</xdr:row>
      <xdr:rowOff>19050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323849</xdr:colOff>
      <xdr:row>59</xdr:row>
      <xdr:rowOff>95249</xdr:rowOff>
    </xdr:from>
    <xdr:to>
      <xdr:col>19</xdr:col>
      <xdr:colOff>57149</xdr:colOff>
      <xdr:row>73</xdr:row>
      <xdr:rowOff>104774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257174</xdr:colOff>
      <xdr:row>42</xdr:row>
      <xdr:rowOff>104775</xdr:rowOff>
    </xdr:from>
    <xdr:to>
      <xdr:col>19</xdr:col>
      <xdr:colOff>85724</xdr:colOff>
      <xdr:row>57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9525</xdr:colOff>
      <xdr:row>12</xdr:row>
      <xdr:rowOff>114300</xdr:rowOff>
    </xdr:from>
    <xdr:to>
      <xdr:col>18</xdr:col>
      <xdr:colOff>238125</xdr:colOff>
      <xdr:row>27</xdr:row>
      <xdr:rowOff>152400</xdr:rowOff>
    </xdr:to>
    <xdr:graphicFrame macro="">
      <xdr:nvGraphicFramePr>
        <xdr:cNvPr id="10" name="Chart 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382734</xdr:colOff>
      <xdr:row>1</xdr:row>
      <xdr:rowOff>26489</xdr:rowOff>
    </xdr:from>
    <xdr:to>
      <xdr:col>17</xdr:col>
      <xdr:colOff>290386</xdr:colOff>
      <xdr:row>27</xdr:row>
      <xdr:rowOff>89698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601806</xdr:colOff>
      <xdr:row>1</xdr:row>
      <xdr:rowOff>0</xdr:rowOff>
    </xdr:from>
    <xdr:to>
      <xdr:col>29</xdr:col>
      <xdr:colOff>214745</xdr:colOff>
      <xdr:row>29</xdr:row>
      <xdr:rowOff>41522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530800</xdr:colOff>
      <xdr:row>0</xdr:row>
      <xdr:rowOff>142873</xdr:rowOff>
    </xdr:from>
    <xdr:to>
      <xdr:col>15</xdr:col>
      <xdr:colOff>47626</xdr:colOff>
      <xdr:row>28</xdr:row>
      <xdr:rowOff>142876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0</xdr:row>
      <xdr:rowOff>219075</xdr:rowOff>
    </xdr:from>
    <xdr:to>
      <xdr:col>14</xdr:col>
      <xdr:colOff>9525</xdr:colOff>
      <xdr:row>16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342902</xdr:colOff>
      <xdr:row>20</xdr:row>
      <xdr:rowOff>0</xdr:rowOff>
    </xdr:from>
    <xdr:to>
      <xdr:col>14</xdr:col>
      <xdr:colOff>352425</xdr:colOff>
      <xdr:row>37</xdr:row>
      <xdr:rowOff>219076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28</xdr:row>
      <xdr:rowOff>66675</xdr:rowOff>
    </xdr:from>
    <xdr:to>
      <xdr:col>13</xdr:col>
      <xdr:colOff>247650</xdr:colOff>
      <xdr:row>57</xdr:row>
      <xdr:rowOff>67599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714374</xdr:colOff>
      <xdr:row>0</xdr:row>
      <xdr:rowOff>9525</xdr:rowOff>
    </xdr:from>
    <xdr:to>
      <xdr:col>14</xdr:col>
      <xdr:colOff>47625</xdr:colOff>
      <xdr:row>25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5762E9-8DDA-45AE-893A-61911FCD72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533398</xdr:colOff>
      <xdr:row>1</xdr:row>
      <xdr:rowOff>38100</xdr:rowOff>
    </xdr:from>
    <xdr:to>
      <xdr:col>18</xdr:col>
      <xdr:colOff>171449</xdr:colOff>
      <xdr:row>32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</xdr:colOff>
      <xdr:row>2</xdr:row>
      <xdr:rowOff>40641</xdr:rowOff>
    </xdr:from>
    <xdr:to>
      <xdr:col>15</xdr:col>
      <xdr:colOff>1650999</xdr:colOff>
      <xdr:row>19</xdr:row>
      <xdr:rowOff>241300</xdr:rowOff>
    </xdr:to>
    <xdr:graphicFrame macro="">
      <xdr:nvGraphicFramePr>
        <xdr:cNvPr id="22545" name="Chart 2">
          <a:extLst>
            <a:ext uri="{FF2B5EF4-FFF2-40B4-BE49-F238E27FC236}">
              <a16:creationId xmlns:a16="http://schemas.microsoft.com/office/drawing/2014/main" id="{00000000-0008-0000-0800-0000115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CFC081-6C46-4E53-9267-BAF81996909E}" name="Table1879101112131415161718192021222324252627282930313233343536373839404142434448495152535455565758596263646568697071" displayName="Table1879101112131415161718192021222324252627282930313233343536373839404142434448495152535455565758596263646568697071" ref="A4:I21" totalsRowShown="0" dataDxfId="18">
  <autoFilter ref="A4:I21" xr:uid="{1EB51B47-C1FF-4760-9530-01D436D33BB1}"/>
  <tableColumns count="9">
    <tableColumn id="1" xr3:uid="{1909B0A1-5B70-4152-94E5-A44312902E33}" name="Sl. No." dataDxfId="17"/>
    <tableColumn id="2" xr3:uid="{008B6AAC-F9F9-4E37-AC41-3CB528F2D05D}" name="Pages" dataDxfId="16"/>
    <tableColumn id="3" xr3:uid="{7E3C85DB-6DC9-46F4-8838-268B08B02CC7}" name="Avg. Load Time" dataDxfId="15"/>
    <tableColumn id="4" xr3:uid="{B3096CA1-851F-4465-B47E-27C7C130E61E}" name="Bounce Rate" dataDxfId="14"/>
    <tableColumn id="5" xr3:uid="{F1EC1DE0-FFC2-4438-A462-63989F079BE4}" name="Time Spent" dataDxfId="13"/>
    <tableColumn id="6" xr3:uid="{457378C2-C981-4342-82B1-430CB89FC655}" name="Total Pageviews" dataDxfId="12"/>
    <tableColumn id="7" xr3:uid="{3CD82E4C-883F-41B7-871B-5A39A6CAA8F8}" name="Per day Avg" dataDxfId="11" dataCellStyle="Comma">
      <calculatedColumnFormula>Table1879101112131415161718192021222324252627282930313233343536373839404142434448495152535455565758596263646568697071[[#This Row],[Total Pageviews]]/30</calculatedColumnFormula>
    </tableColumn>
    <tableColumn id="8" xr3:uid="{06F271D9-835E-47F3-A0D4-3ECB3E5E4B7A}" name="Total Unique Pageviews" dataDxfId="10"/>
    <tableColumn id="9" xr3:uid="{7BF529C4-51C7-44FD-A3D1-8C36160BE383}" name="Per day Avg." dataDxfId="9" dataCellStyle="Comma">
      <calculatedColumnFormula>Table1879101112131415161718192021222324252627282930313233343536373839404142434448495152535455565758596263646568697071[[#This Row],[Total Unique Pageviews]]/30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C83CC9-9A64-4EFF-9841-BF51E46397BF}" name="Table18791011121314151617181920212223242526272829303132333435363738394041424344484951525354555657585962636465686970713" displayName="Table18791011121314151617181920212223242526272829303132333435363738394041424344484951525354555657585962636465686970713" ref="A45:H62" totalsRowShown="0" dataDxfId="8">
  <autoFilter ref="A45:H62" xr:uid="{9CB322C2-810E-459A-8D13-654A0209FACD}"/>
  <tableColumns count="8">
    <tableColumn id="1" xr3:uid="{FA6FA5F9-7B65-43A1-916D-56C282BB01C9}" name="Sl. No." dataDxfId="7"/>
    <tableColumn id="2" xr3:uid="{87C0F877-9BC4-40DB-93DB-B747FB42231B}" name="Pages" dataDxfId="6"/>
    <tableColumn id="4" xr3:uid="{B07D41B2-B3E0-4CF1-BAE5-CA693933456B}" name="Bounce Rate" dataDxfId="5"/>
    <tableColumn id="5" xr3:uid="{DA7CDFF8-77E5-4941-863A-A630B8C73A56}" name="Time Spent" dataDxfId="4"/>
    <tableColumn id="6" xr3:uid="{034DA3A3-54C1-47FC-A8EB-509B6B35E96F}" name="Total Pageviews" dataDxfId="3"/>
    <tableColumn id="7" xr3:uid="{E1728054-F1A8-43D1-B047-78578AD3EFBA}" name="Per day Avg" dataDxfId="2" dataCellStyle="Comma">
      <calculatedColumnFormula>Table18791011121314151617181920212223242526272829303132333435363738394041424344484951525354555657585962636465686970713[[#This Row],[Total Pageviews]]/181</calculatedColumnFormula>
    </tableColumn>
    <tableColumn id="8" xr3:uid="{73D5BA6F-8421-41B3-BA3D-303B43849196}" name="Total Unique Pageviews" dataDxfId="1"/>
    <tableColumn id="9" xr3:uid="{4ED76246-E57C-4574-BE01-813E3AD5ADD6}" name="Per day Avg." dataDxfId="0" dataCellStyle="Comma">
      <calculatedColumnFormula>Table18791011121314151617181920212223242526272829303132333435363738394041424344484951525354555657585962636465686970713[[#This Row],[Total Unique Pageviews]]/181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4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1FE52-AD51-453D-A844-75F3742E62D0}">
  <sheetPr/>
  <sheetViews>
    <sheetView workbookViewId="0">
      <selection activeCell="B8" sqref="B8:M8"/>
    </sheetView>
  </sheetViews>
  <sheetFormatPr defaultRowHeight="12.75"/>
  <cols>
    <col min="1" max="1" width="19.85546875" customWidth="1"/>
    <col min="2" max="2" width="16.5703125" bestFit="1" customWidth="1"/>
    <col min="3" max="3" width="8.42578125" bestFit="1" customWidth="1"/>
    <col min="4" max="4" width="10.7109375" bestFit="1" customWidth="1"/>
    <col min="5" max="5" width="11.7109375" bestFit="1" customWidth="1"/>
    <col min="6" max="6" width="8.7109375" bestFit="1" customWidth="1"/>
    <col min="7" max="7" width="18.7109375" bestFit="1" customWidth="1"/>
    <col min="8" max="8" width="7" bestFit="1" customWidth="1"/>
    <col min="9" max="9" width="8.85546875" bestFit="1" customWidth="1"/>
    <col min="10" max="10" width="26.42578125" bestFit="1" customWidth="1"/>
    <col min="11" max="11" width="24.42578125" bestFit="1" customWidth="1"/>
    <col min="12" max="12" width="20.140625" bestFit="1" customWidth="1"/>
    <col min="13" max="13" width="9.85546875" bestFit="1" customWidth="1"/>
    <col min="14" max="14" width="7" bestFit="1" customWidth="1"/>
  </cols>
  <sheetData>
    <row r="1" spans="1:14" ht="15.75">
      <c r="A1" t="s" s="352">
        <v>2</v>
      </c>
      <c r="B1" t="s" s="352">
        <v>181</v>
      </c>
      <c r="C1" t="s" s="352">
        <v>190</v>
      </c>
      <c r="D1" t="s" s="352">
        <v>186</v>
      </c>
      <c r="E1" t="s" s="352">
        <v>188</v>
      </c>
      <c r="F1" t="s" s="352">
        <v>192</v>
      </c>
      <c r="G1" t="s" s="352">
        <v>183</v>
      </c>
      <c r="H1" t="s" s="352">
        <v>185</v>
      </c>
      <c r="I1" t="s" s="352">
        <v>173</v>
      </c>
      <c r="J1" t="s" s="352">
        <v>179</v>
      </c>
      <c r="K1" t="s" s="352">
        <v>175</v>
      </c>
      <c r="L1" t="s" s="352">
        <v>194</v>
      </c>
      <c r="M1" t="s" s="352">
        <v>177</v>
      </c>
      <c r="N1" s="350"/>
    </row>
    <row r="2" spans="1:14" ht="15">
      <c r="A2" t="s" s="346">
        <v>252</v>
      </c>
      <c r="B2" s="347">
        <v>553</v>
      </c>
      <c r="C2" s="347">
        <v>239</v>
      </c>
      <c r="D2" s="347">
        <v>552</v>
      </c>
      <c r="E2" s="347">
        <v>248</v>
      </c>
      <c r="F2" s="347">
        <v>41</v>
      </c>
      <c r="G2" s="347">
        <v>1231</v>
      </c>
      <c r="H2" s="347">
        <v>278</v>
      </c>
      <c r="I2" s="347">
        <v>401</v>
      </c>
      <c r="J2" s="347">
        <v>1118</v>
      </c>
      <c r="K2" s="347">
        <v>525</v>
      </c>
      <c r="L2" s="347">
        <v>126</v>
      </c>
      <c r="M2" s="347">
        <v>304</v>
      </c>
      <c r="N2" s="350"/>
    </row>
    <row r="3" spans="1:14" ht="15">
      <c r="A3" t="s" s="346">
        <v>253</v>
      </c>
      <c r="B3" s="347">
        <v>461</v>
      </c>
      <c r="C3" s="347">
        <v>197</v>
      </c>
      <c r="D3" s="347">
        <v>535</v>
      </c>
      <c r="E3" s="347">
        <v>238</v>
      </c>
      <c r="F3" s="347">
        <v>61</v>
      </c>
      <c r="G3" s="347">
        <v>1260</v>
      </c>
      <c r="H3" s="347">
        <v>195</v>
      </c>
      <c r="I3" s="347">
        <v>386</v>
      </c>
      <c r="J3" s="347">
        <v>1137</v>
      </c>
      <c r="K3" s="347">
        <v>495</v>
      </c>
      <c r="L3" s="347">
        <v>118</v>
      </c>
      <c r="M3" s="347">
        <v>250</v>
      </c>
      <c r="N3" s="350"/>
    </row>
    <row r="4" spans="1:14" ht="15">
      <c r="A4" t="s" s="346">
        <v>254</v>
      </c>
      <c r="B4" s="347">
        <v>378</v>
      </c>
      <c r="C4" s="347">
        <v>191</v>
      </c>
      <c r="D4" s="347">
        <v>493</v>
      </c>
      <c r="E4" s="347">
        <v>233</v>
      </c>
      <c r="F4" s="347">
        <v>145</v>
      </c>
      <c r="G4" s="347">
        <v>1160</v>
      </c>
      <c r="H4" s="347">
        <v>178</v>
      </c>
      <c r="I4" s="347">
        <v>396</v>
      </c>
      <c r="J4" s="347">
        <v>1124</v>
      </c>
      <c r="K4" s="347">
        <v>433</v>
      </c>
      <c r="L4" s="347">
        <v>110</v>
      </c>
      <c r="M4" s="347">
        <v>236</v>
      </c>
      <c r="N4" s="350"/>
    </row>
    <row r="5" spans="1:14" ht="15">
      <c r="A5" t="s" s="346">
        <v>255</v>
      </c>
      <c r="B5" s="347">
        <v>414</v>
      </c>
      <c r="C5" s="347">
        <v>185</v>
      </c>
      <c r="D5" s="347">
        <v>637</v>
      </c>
      <c r="E5" s="347">
        <v>245</v>
      </c>
      <c r="F5" s="347">
        <v>463</v>
      </c>
      <c r="G5" s="347">
        <v>1157</v>
      </c>
      <c r="H5" s="347">
        <v>170</v>
      </c>
      <c r="I5" s="347">
        <v>458</v>
      </c>
      <c r="J5" s="347">
        <v>1061</v>
      </c>
      <c r="K5" s="347">
        <v>439</v>
      </c>
      <c r="L5" s="347">
        <v>100</v>
      </c>
      <c r="M5" s="347">
        <v>236</v>
      </c>
      <c r="N5" s="350"/>
    </row>
    <row r="6" spans="1:14" ht="15">
      <c r="A6" t="s" s="346">
        <v>440</v>
      </c>
      <c r="B6" s="347">
        <v>414</v>
      </c>
      <c r="C6" s="347">
        <v>220</v>
      </c>
      <c r="D6" s="347">
        <v>584</v>
      </c>
      <c r="E6" s="347">
        <v>257</v>
      </c>
      <c r="F6" s="347">
        <v>263</v>
      </c>
      <c r="G6" s="347">
        <v>1046</v>
      </c>
      <c r="H6" s="347">
        <v>180</v>
      </c>
      <c r="I6" s="347">
        <v>491</v>
      </c>
      <c r="J6" s="347">
        <v>1132</v>
      </c>
      <c r="K6" s="347">
        <v>466</v>
      </c>
      <c r="L6" s="347">
        <v>342</v>
      </c>
      <c r="M6" s="347">
        <v>217</v>
      </c>
      <c r="N6" s="350"/>
    </row>
    <row r="7" spans="1:14" ht="15">
      <c r="A7" t="s" s="346">
        <v>478</v>
      </c>
      <c r="B7" s="347">
        <v>455</v>
      </c>
      <c r="C7" s="347">
        <v>187</v>
      </c>
      <c r="D7" s="347">
        <v>518</v>
      </c>
      <c r="E7" s="347">
        <v>247</v>
      </c>
      <c r="F7" s="347">
        <v>123</v>
      </c>
      <c r="G7" s="347">
        <v>1003</v>
      </c>
      <c r="H7" s="347">
        <v>205</v>
      </c>
      <c r="I7" s="347">
        <v>460</v>
      </c>
      <c r="J7" s="347">
        <v>1084</v>
      </c>
      <c r="K7" s="347">
        <v>477</v>
      </c>
      <c r="L7" s="347">
        <v>830</v>
      </c>
      <c r="M7" s="347">
        <v>218</v>
      </c>
      <c r="N7" s="350"/>
    </row>
    <row r="8" spans="1:14" ht="15">
      <c r="A8" t="s" s="346">
        <v>583</v>
      </c>
      <c r="B8" s="347">
        <v>597</v>
      </c>
      <c r="C8" s="347">
        <v>175</v>
      </c>
      <c r="D8" s="347">
        <v>608</v>
      </c>
      <c r="E8" s="347">
        <v>278</v>
      </c>
      <c r="F8" s="347">
        <v>98</v>
      </c>
      <c r="G8" s="347">
        <v>1182</v>
      </c>
      <c r="H8" s="347">
        <v>241</v>
      </c>
      <c r="I8" s="347">
        <v>483</v>
      </c>
      <c r="J8" s="347">
        <v>1237</v>
      </c>
      <c r="K8" s="347">
        <v>721</v>
      </c>
      <c r="L8" s="347">
        <v>417</v>
      </c>
      <c r="M8" s="347">
        <v>215</v>
      </c>
      <c r="N8" s="351">
        <f>SUM(B8:M8)</f>
      </c>
    </row>
    <row r="9" spans="1:14" ht="15">
      <c r="A9" t="s" s="346">
        <v>256</v>
      </c>
      <c r="B9" s="347">
        <f>SUM(B2:B8)</f>
      </c>
      <c r="C9" s="347">
        <f t="shared" ref="C9:M9" si="0">SUM(C2:C8)</f>
      </c>
      <c r="D9" s="347">
        <f t="shared" si="0"/>
      </c>
      <c r="E9" s="347">
        <f t="shared" si="0"/>
      </c>
      <c r="F9" s="347">
        <f t="shared" si="0"/>
      </c>
      <c r="G9" s="347">
        <f t="shared" si="0"/>
      </c>
      <c r="H9" s="347">
        <f t="shared" si="0"/>
      </c>
      <c r="I9" s="347">
        <f t="shared" si="0"/>
      </c>
      <c r="J9" s="347">
        <f t="shared" si="0"/>
      </c>
      <c r="K9" s="347">
        <f t="shared" si="0"/>
      </c>
      <c r="L9" s="347">
        <f t="shared" si="0"/>
      </c>
      <c r="M9" s="347">
        <f t="shared" si="0"/>
      </c>
      <c r="N9" s="350"/>
    </row>
    <row r="12" spans="1:14">
      <c r="A12" s="6"/>
    </row>
    <row r="13" spans="1:14">
      <c r="A13" s="6"/>
    </row>
    <row r="14" spans="1:14">
      <c r="A14" s="6"/>
    </row>
    <row r="15" spans="1:14">
      <c r="A15" s="6"/>
    </row>
    <row r="16" spans="1:14">
      <c r="A16" s="6"/>
    </row>
    <row r="17" spans="1:1">
      <c r="A17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E5044-2592-4DCA-9333-AD68F1FD7C57}">
  <sheetPr/>
  <sheetViews>
    <sheetView workbookViewId="0">
      <selection activeCell="A2" sqref="A2:M9"/>
    </sheetView>
  </sheetViews>
  <sheetFormatPr defaultRowHeight="12.75"/>
  <cols>
    <col min="1" max="1" width="22.85546875" bestFit="1" customWidth="1"/>
    <col min="2" max="2" width="16.5703125" bestFit="1" customWidth="1"/>
    <col min="3" max="3" width="8.42578125" bestFit="1" customWidth="1"/>
    <col min="4" max="4" width="10.7109375" bestFit="1" customWidth="1"/>
    <col min="5" max="5" width="11.7109375" bestFit="1" customWidth="1"/>
    <col min="6" max="6" width="8.7109375" bestFit="1" customWidth="1"/>
    <col min="7" max="7" width="18.7109375" bestFit="1" customWidth="1"/>
    <col min="8" max="8" width="8.28515625" bestFit="1" customWidth="1"/>
    <col min="9" max="9" width="10.140625" bestFit="1" customWidth="1"/>
    <col min="10" max="10" width="26.42578125" bestFit="1" customWidth="1"/>
    <col min="11" max="11" width="24.42578125" bestFit="1" customWidth="1"/>
    <col min="12" max="12" width="20.140625" bestFit="1" customWidth="1"/>
    <col min="13" max="13" width="9.85546875" bestFit="1" customWidth="1"/>
  </cols>
  <sheetData>
    <row r="1" spans="1:13" ht="15.75">
      <c r="A1" t="s" s="353">
        <v>2</v>
      </c>
      <c r="B1" t="s" s="353">
        <v>181</v>
      </c>
      <c r="C1" t="s" s="353">
        <v>190</v>
      </c>
      <c r="D1" t="s" s="353">
        <v>186</v>
      </c>
      <c r="E1" t="s" s="353">
        <v>188</v>
      </c>
      <c r="F1" t="s" s="353">
        <v>192</v>
      </c>
      <c r="G1" t="s" s="353">
        <v>183</v>
      </c>
      <c r="H1" t="s" s="353">
        <v>185</v>
      </c>
      <c r="I1" t="s" s="353">
        <v>173</v>
      </c>
      <c r="J1" t="s" s="353">
        <v>179</v>
      </c>
      <c r="K1" t="s" s="353">
        <v>175</v>
      </c>
      <c r="L1" t="s" s="353">
        <v>194</v>
      </c>
      <c r="M1" t="s" s="353">
        <v>177</v>
      </c>
    </row>
    <row r="2" spans="1:13" ht="15">
      <c r="A2" t="s" s="348">
        <v>252</v>
      </c>
      <c r="B2" s="349">
        <v>3666</v>
      </c>
      <c r="C2" s="349">
        <v>2889</v>
      </c>
      <c r="D2" s="349">
        <v>4511</v>
      </c>
      <c r="E2" s="349">
        <v>9</v>
      </c>
      <c r="F2" s="349">
        <v>4</v>
      </c>
      <c r="G2" s="349">
        <v>99</v>
      </c>
      <c r="H2" s="349">
        <v>4405</v>
      </c>
      <c r="I2" s="349">
        <v>32286</v>
      </c>
      <c r="J2" s="349">
        <v>35553</v>
      </c>
      <c r="K2" s="349">
        <v>32401</v>
      </c>
      <c r="L2" s="349">
        <v>7</v>
      </c>
      <c r="M2" s="349">
        <v>12</v>
      </c>
    </row>
    <row r="3" spans="1:13" ht="15">
      <c r="A3" t="s" s="348">
        <v>253</v>
      </c>
      <c r="B3" s="349">
        <v>2238</v>
      </c>
      <c r="C3" s="349">
        <v>483</v>
      </c>
      <c r="D3" s="349">
        <v>2982</v>
      </c>
      <c r="E3" s="349">
        <v>10</v>
      </c>
      <c r="F3" s="349">
        <v>3</v>
      </c>
      <c r="G3" s="349">
        <v>80</v>
      </c>
      <c r="H3" s="349">
        <v>2597</v>
      </c>
      <c r="I3" s="349">
        <v>7364</v>
      </c>
      <c r="J3" s="349">
        <v>26545</v>
      </c>
      <c r="K3" s="349">
        <v>12177</v>
      </c>
      <c r="L3" s="349">
        <v>18</v>
      </c>
      <c r="M3" s="349">
        <v>9</v>
      </c>
    </row>
    <row r="4" spans="1:13" ht="15">
      <c r="A4" t="s" s="348">
        <v>254</v>
      </c>
      <c r="B4" s="349">
        <v>983</v>
      </c>
      <c r="C4" s="349">
        <v>4048</v>
      </c>
      <c r="D4" s="349">
        <v>21</v>
      </c>
      <c r="E4" s="349">
        <v>6</v>
      </c>
      <c r="F4" s="349">
        <v>675</v>
      </c>
      <c r="G4" s="349">
        <v>2198</v>
      </c>
      <c r="H4" s="349">
        <v>5243</v>
      </c>
      <c r="I4" s="349">
        <v>28472</v>
      </c>
      <c r="J4" s="349">
        <v>34930</v>
      </c>
      <c r="K4" s="349">
        <v>18748</v>
      </c>
      <c r="L4" s="349">
        <v>7</v>
      </c>
      <c r="M4" s="349">
        <v>12</v>
      </c>
    </row>
    <row r="5" spans="1:13" ht="15">
      <c r="A5" t="s" s="348">
        <v>255</v>
      </c>
      <c r="B5" s="349">
        <v>4415</v>
      </c>
      <c r="C5" s="349">
        <v>4524</v>
      </c>
      <c r="D5" s="349">
        <v>3049</v>
      </c>
      <c r="E5" s="349">
        <v>21</v>
      </c>
      <c r="F5" s="349">
        <v>2707</v>
      </c>
      <c r="G5" s="349">
        <v>3613</v>
      </c>
      <c r="H5" s="349">
        <v>5297</v>
      </c>
      <c r="I5" s="349">
        <v>32974</v>
      </c>
      <c r="J5" s="349">
        <v>33303</v>
      </c>
      <c r="K5" s="349">
        <v>18437</v>
      </c>
      <c r="L5" s="349">
        <v>11</v>
      </c>
      <c r="M5" s="349">
        <v>8</v>
      </c>
    </row>
    <row r="6" spans="1:13" ht="15">
      <c r="A6" t="s" s="348">
        <v>440</v>
      </c>
      <c r="B6" s="349">
        <v>32</v>
      </c>
      <c r="C6" s="349">
        <v>3130</v>
      </c>
      <c r="D6" s="349">
        <v>1739</v>
      </c>
      <c r="E6" s="349">
        <v>2882</v>
      </c>
      <c r="F6" s="349">
        <v>1433</v>
      </c>
      <c r="G6" s="349">
        <v>4913</v>
      </c>
      <c r="H6" s="349">
        <v>5337</v>
      </c>
      <c r="I6" s="349">
        <v>41708</v>
      </c>
      <c r="J6" s="349">
        <v>34248</v>
      </c>
      <c r="K6" s="349">
        <v>12111</v>
      </c>
      <c r="L6" s="349">
        <v>632</v>
      </c>
      <c r="M6" s="349">
        <v>8</v>
      </c>
    </row>
    <row r="7" spans="1:13" ht="15">
      <c r="A7" t="s" s="348">
        <v>478</v>
      </c>
      <c r="B7" s="349">
        <v>2415</v>
      </c>
      <c r="C7" s="349">
        <v>3616</v>
      </c>
      <c r="D7" s="349">
        <v>201</v>
      </c>
      <c r="E7" s="349">
        <v>2881</v>
      </c>
      <c r="F7" s="349">
        <v>2149</v>
      </c>
      <c r="G7" s="349">
        <v>4148</v>
      </c>
      <c r="H7" s="349">
        <v>6111</v>
      </c>
      <c r="I7" s="349">
        <v>37094</v>
      </c>
      <c r="J7" s="349">
        <v>45498</v>
      </c>
      <c r="K7" s="349">
        <v>15442</v>
      </c>
      <c r="L7" s="349">
        <v>1588</v>
      </c>
      <c r="M7" s="349">
        <v>13</v>
      </c>
    </row>
    <row r="8" spans="1:13" ht="15">
      <c r="A8" t="s" s="348">
        <v>583</v>
      </c>
      <c r="B8" s="349">
        <v>7723</v>
      </c>
      <c r="C8" s="349">
        <v>4662</v>
      </c>
      <c r="D8" s="349">
        <v>41</v>
      </c>
      <c r="E8" s="349">
        <v>4329</v>
      </c>
      <c r="F8" s="349">
        <v>2525</v>
      </c>
      <c r="G8" s="349">
        <v>5490</v>
      </c>
      <c r="H8" s="349">
        <v>5800</v>
      </c>
      <c r="I8" s="349">
        <v>40908</v>
      </c>
      <c r="J8" s="349">
        <v>51184</v>
      </c>
      <c r="K8" s="349">
        <v>18184</v>
      </c>
      <c r="L8" s="349">
        <v>1382</v>
      </c>
      <c r="M8" s="349">
        <v>10</v>
      </c>
    </row>
    <row r="9" spans="1:13" ht="15">
      <c r="A9" t="s" s="354">
        <v>441</v>
      </c>
      <c r="B9" s="349">
        <f>SUM(B2:B8)</f>
      </c>
      <c r="C9" s="349">
        <f>SUM(C2:C8)</f>
      </c>
      <c r="D9" s="349">
        <f t="shared" ref="D9:L9" si="0">SUM(D2:D8)</f>
      </c>
      <c r="E9" s="349">
        <f>SUM(E2:E8)</f>
      </c>
      <c r="F9" s="349">
        <f t="shared" si="0"/>
      </c>
      <c r="G9" s="349">
        <f t="shared" si="0"/>
      </c>
      <c r="H9" s="349">
        <f t="shared" si="0"/>
      </c>
      <c r="I9" s="349">
        <f t="shared" si="0"/>
      </c>
      <c r="J9" s="349">
        <f t="shared" si="0"/>
      </c>
      <c r="K9" s="349">
        <f t="shared" si="0"/>
      </c>
      <c r="L9" s="349">
        <f t="shared" si="0"/>
      </c>
      <c r="M9" s="349">
        <f>SUM(M2:M8)</f>
      </c>
    </row>
    <row r="14" spans="1:13">
      <c r="A14" s="6"/>
    </row>
    <row r="15" spans="1:13">
      <c r="A15" s="6"/>
    </row>
    <row r="16" spans="1:13">
      <c r="A16" s="6"/>
    </row>
    <row r="17" spans="1:1">
      <c r="A17" s="6"/>
    </row>
    <row r="18" spans="1:1">
      <c r="A18" s="6"/>
    </row>
    <row r="19" spans="1:1">
      <c r="A19" s="6"/>
    </row>
    <row r="20" spans="1:1">
      <c r="A20" s="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172B3-D689-4A3D-9AD9-372B9F81CFA1}">
  <sheetPr/>
  <sheetViews>
    <sheetView workbookViewId="0">
      <selection activeCell="K5" sqref="K5"/>
    </sheetView>
  </sheetViews>
  <sheetFormatPr defaultRowHeight="12.75"/>
  <cols>
    <col min="1" max="1" width="18.5703125" customWidth="1"/>
    <col min="2" max="2" width="29.5703125" customWidth="1"/>
    <col min="3" max="3" width="20.5703125" customWidth="1"/>
    <col min="4" max="4" width="15.28515625" customWidth="1"/>
    <col min="5" max="5" width="15.5703125" customWidth="1"/>
    <col min="6" max="6" width="22.28515625" customWidth="1"/>
    <col min="7" max="7" width="20" customWidth="1"/>
    <col min="8" max="8" width="23.85546875" customWidth="1"/>
    <col min="9" max="9" width="20.28515625" customWidth="1"/>
    <col min="10" max="10" width="20.140625" customWidth="1"/>
    <col min="11" max="11" width="19.85546875" customWidth="1"/>
    <col min="12" max="12" width="15.85546875" customWidth="1"/>
    <col min="13" max="13" width="18.42578125" customWidth="1"/>
  </cols>
  <sheetData>
    <row r="1" spans="1:13">
      <c r="B1">
        <v>164624</v>
      </c>
      <c r="C1">
        <v>1111867</v>
      </c>
      <c r="D1">
        <v>141411</v>
      </c>
      <c r="E1">
        <v>758418</v>
      </c>
      <c r="F1">
        <v>154087</v>
      </c>
      <c r="G1">
        <v>863230</v>
      </c>
      <c r="H1">
        <v>153524</v>
      </c>
      <c r="I1">
        <v>681472</v>
      </c>
      <c r="J1">
        <v>175598</v>
      </c>
      <c r="K1">
        <v>931043</v>
      </c>
      <c r="L1">
        <v>248232</v>
      </c>
      <c r="M1">
        <v>2509236</v>
      </c>
    </row>
    <row r="2" spans="1:13">
      <c r="B2">
        <v>-0.13</v>
      </c>
      <c r="C2">
        <v>-0.87</v>
      </c>
      <c r="D2">
        <v>-0.1558</v>
      </c>
      <c r="E2">
        <v>-0.8357</v>
      </c>
      <c r="F2">
        <v>-0.1505</v>
      </c>
      <c r="G2">
        <v>-0.8432</v>
      </c>
      <c r="H2">
        <v>-0.183</v>
      </c>
      <c r="I2">
        <v>-0.8124</v>
      </c>
      <c r="J2">
        <v>-0.1579</v>
      </c>
      <c r="K2">
        <v>-0.8373</v>
      </c>
      <c r="L2">
        <v>-0.0899</v>
      </c>
      <c r="M2">
        <v>-0.9087</v>
      </c>
    </row>
    <row r="3" spans="1:13">
      <c r="B3">
        <v>0.2439</v>
      </c>
      <c r="C3">
        <v>0.6168</v>
      </c>
      <c r="D3">
        <v>0.2519</v>
      </c>
      <c r="E3">
        <v>0.5689</v>
      </c>
      <c r="F3">
        <v>0.2502</v>
      </c>
      <c r="G3">
        <v>0.5414</v>
      </c>
      <c r="H3">
        <v>0.2389</v>
      </c>
      <c r="I3">
        <v>0.5086</v>
      </c>
      <c r="J3">
        <v>0.2419</v>
      </c>
      <c r="K3">
        <v>0.4352</v>
      </c>
      <c r="L3">
        <v>0.2807</v>
      </c>
      <c r="M3">
        <v>0.5982</v>
      </c>
    </row>
    <row r="8" spans="1:13" ht="13.5" thickBot="1"/>
    <row r="9" spans="1:13" ht="21" thickBot="1">
      <c r="A9" t="s" s="111">
        <v>257</v>
      </c>
      <c r="B9" s="555">
        <v>45658</v>
      </c>
      <c r="C9" s="556"/>
      <c r="D9" s="555">
        <v>45689</v>
      </c>
      <c r="E9" s="556"/>
      <c r="F9" s="555">
        <v>45717</v>
      </c>
      <c r="G9" s="556"/>
      <c r="H9" s="555">
        <v>45748</v>
      </c>
      <c r="I9" s="556"/>
      <c r="J9" s="555">
        <v>45778</v>
      </c>
      <c r="K9" s="556"/>
      <c r="L9" s="555">
        <v>45809</v>
      </c>
      <c r="M9" s="556"/>
    </row>
    <row r="10" spans="1:13" ht="41.25" thickBot="1">
      <c r="A10" t="s" s="112">
        <v>258</v>
      </c>
      <c r="B10" t="s" s="113">
        <v>259</v>
      </c>
      <c r="C10" t="s" s="113">
        <v>260</v>
      </c>
      <c r="D10" t="s" s="113">
        <v>259</v>
      </c>
      <c r="E10" t="s" s="113">
        <v>260</v>
      </c>
      <c r="F10" t="s" s="113">
        <v>259</v>
      </c>
      <c r="G10" t="s" s="113">
        <v>260</v>
      </c>
      <c r="H10" t="s" s="113">
        <v>259</v>
      </c>
      <c r="I10" t="s" s="113">
        <v>260</v>
      </c>
      <c r="J10" t="s" s="113">
        <v>259</v>
      </c>
      <c r="K10" t="s" s="113">
        <v>260</v>
      </c>
      <c r="L10" t="s" s="113">
        <v>259</v>
      </c>
      <c r="M10" t="s" s="113">
        <v>261</v>
      </c>
    </row>
    <row r="11" spans="1:13" ht="48" customHeight="1" thickBot="1">
      <c r="A11" t="s" s="114">
        <v>93</v>
      </c>
      <c r="B11" s="115">
        <f t="shared" ref="B11:E11" si="0">B1 &amp; CHAR(10) &amp; "(" &amp;(-1*B2)*100 &amp; "%)"</f>
      </c>
      <c r="C11" s="115">
        <f t="shared" si="0"/>
      </c>
      <c r="D11" s="115">
        <f t="shared" si="0"/>
      </c>
      <c r="E11" s="115">
        <f t="shared" si="0"/>
      </c>
      <c r="F11" s="115">
        <f>F1 &amp; CHAR(10) &amp; "(" &amp;(-1*F2)*100 &amp; "%)"</f>
      </c>
      <c r="G11" s="115">
        <f t="shared" ref="G11:K11" si="1">G1 &amp; CHAR(10) &amp; "(" &amp;(-1*G2)*100 &amp; "%)"</f>
      </c>
      <c r="H11" s="115">
        <f t="shared" si="1"/>
      </c>
      <c r="I11" s="115">
        <f t="shared" si="1"/>
      </c>
      <c r="J11" s="115">
        <f t="shared" si="1"/>
      </c>
      <c r="K11" s="115">
        <f t="shared" si="1"/>
      </c>
      <c r="L11" s="115">
        <f>L1 &amp; CHAR(10) &amp; "(" &amp;(-1*L2)*100 &amp; "%)"</f>
      </c>
      <c r="M11" s="115">
        <f>M1 &amp; CHAR(10) &amp; "(" &amp;(-1*M2)*100 &amp; "%)"</f>
      </c>
    </row>
    <row r="12" spans="1:13" ht="41.25" thickBot="1">
      <c r="A12" t="s" s="116">
        <v>201</v>
      </c>
      <c r="B12" s="117">
        <v>0.2439</v>
      </c>
      <c r="C12" s="117">
        <v>0.6168</v>
      </c>
      <c r="D12" s="118">
        <v>0.2519</v>
      </c>
      <c r="E12" s="118">
        <v>0.5689</v>
      </c>
      <c r="F12" s="118">
        <v>0.2502</v>
      </c>
      <c r="G12" s="118">
        <v>0.5414</v>
      </c>
      <c r="H12" s="118">
        <v>0.2389</v>
      </c>
      <c r="I12" s="118">
        <v>0.5086</v>
      </c>
      <c r="J12" s="118">
        <v>0.2419</v>
      </c>
      <c r="K12" s="118">
        <v>0.4352</v>
      </c>
      <c r="L12" s="118">
        <v>0.2807</v>
      </c>
      <c r="M12" s="118">
        <v>0.5982</v>
      </c>
    </row>
  </sheetData>
  <mergeCells count="6">
    <mergeCell ref="H9:I9"/>
    <mergeCell ref="J9:K9"/>
    <mergeCell ref="L9:M9"/>
    <mergeCell ref="B9:C9"/>
    <mergeCell ref="D9:E9"/>
    <mergeCell ref="F9:G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0E573-4772-40A0-B734-58684C7E4E92}">
  <sheetPr/>
  <sheetViews>
    <sheetView tabSelected="1" workbookViewId="0">
      <selection activeCell="D11" sqref="A1:E13"/>
    </sheetView>
  </sheetViews>
  <sheetFormatPr defaultRowHeight="12.75"/>
  <cols>
    <col min="1" max="1" width="41.5703125" style="8" customWidth="1"/>
    <col min="2" max="2" width="18.42578125" style="38" bestFit="1" customWidth="1"/>
    <col min="3" max="3" width="12.140625" style="184" bestFit="1" customWidth="1"/>
    <col min="4" max="4" width="22.140625" bestFit="1" customWidth="1"/>
    <col min="5" max="5" width="36.85546875" customWidth="1"/>
    <col min="6" max="6" width="11.42578125" bestFit="1" customWidth="1"/>
    <col min="11" max="11" width="15.85546875" customWidth="1"/>
  </cols>
  <sheetData>
    <row r="1" spans="1:11" ht="18">
      <c r="A1" s="487"/>
      <c r="B1" t="s" s="488">
        <v>201</v>
      </c>
      <c r="C1" t="s" s="489">
        <v>61</v>
      </c>
      <c r="D1" t="s" s="490">
        <v>275</v>
      </c>
      <c r="E1" t="s" s="490">
        <v>276</v>
      </c>
    </row>
    <row r="2" spans="1:11" ht="22.5" customHeight="1">
      <c r="A2" t="s" s="491">
        <v>625</v>
      </c>
      <c r="B2" t="s" s="500">
        <v>626</v>
      </c>
      <c r="C2" s="493">
        <v>12</v>
      </c>
      <c r="D2" s="494">
        <f t="shared" ref="D2:D10" si="0">C2/$C$19</f>
      </c>
      <c r="E2" s="495">
        <f t="shared" ref="E2:E6" si="1">TEXT(C2, "0") &amp; CHAR(10) &amp;"("&amp; TEXT(D2, "0.00%")&amp;")"</f>
      </c>
      <c r="F2" s="357"/>
      <c r="G2" s="186"/>
      <c r="H2" s="187"/>
      <c r="J2" s="389"/>
    </row>
    <row r="3" spans="1:11" ht="18">
      <c r="A3" t="s" s="491">
        <v>627</v>
      </c>
      <c r="B3" t="s" s="496">
        <v>628</v>
      </c>
      <c r="C3" s="493">
        <v>1</v>
      </c>
      <c r="D3" s="494">
        <f t="shared" si="0"/>
      </c>
      <c r="E3" s="495">
        <f t="shared" si="1"/>
      </c>
      <c r="F3" s="357"/>
      <c r="G3" s="186"/>
      <c r="H3" s="187"/>
      <c r="J3" s="390"/>
    </row>
    <row r="4" spans="1:11" ht="18">
      <c r="A4" t="s" s="491">
        <v>629</v>
      </c>
      <c r="B4" t="s" s="492">
        <v>628</v>
      </c>
      <c r="C4" s="493">
        <v>2</v>
      </c>
      <c r="D4" s="494">
        <f t="shared" si="0"/>
      </c>
      <c r="E4" s="495">
        <f t="shared" si="1"/>
      </c>
      <c r="F4" s="357"/>
      <c r="G4" s="186"/>
      <c r="H4" s="187"/>
      <c r="J4" s="390"/>
    </row>
    <row r="5" spans="1:11" ht="18">
      <c r="A5" t="s" s="491">
        <v>630</v>
      </c>
      <c r="B5" t="s" s="500">
        <v>631</v>
      </c>
      <c r="C5" s="493">
        <v>12</v>
      </c>
      <c r="D5" s="494">
        <f t="shared" si="0"/>
      </c>
      <c r="E5" s="495">
        <f t="shared" si="1"/>
      </c>
      <c r="F5" s="357"/>
      <c r="G5" s="186"/>
      <c r="H5" s="187"/>
      <c r="J5" s="356"/>
      <c r="K5" s="387"/>
    </row>
    <row r="6" spans="1:11" ht="18">
      <c r="A6" t="s" s="491">
        <v>632</v>
      </c>
      <c r="B6" t="s" s="500">
        <v>628</v>
      </c>
      <c r="C6" s="493">
        <v>2</v>
      </c>
      <c r="D6" s="494">
        <f t="shared" si="0"/>
      </c>
      <c r="E6" s="495">
        <f t="shared" si="1"/>
      </c>
      <c r="F6" s="357"/>
      <c r="G6" s="186"/>
      <c r="H6" s="187"/>
      <c r="J6" s="391"/>
      <c r="K6" s="388"/>
    </row>
    <row r="7" spans="1:11" ht="18">
      <c r="A7" t="s" s="491">
        <v>92</v>
      </c>
      <c r="B7" t="s" s="500">
        <v>633</v>
      </c>
      <c r="C7" s="493">
        <v>435656</v>
      </c>
      <c r="D7" s="494">
        <f t="shared" si="0"/>
      </c>
      <c r="E7" s="495">
        <f>TEXT(C7, "0") &amp; CHAR(10) &amp;"("&amp; TEXT(D7, "0.00%")&amp;")"</f>
      </c>
      <c r="F7" s="357"/>
      <c r="G7" s="186"/>
      <c r="H7" s="187"/>
      <c r="J7" s="356"/>
      <c r="K7" s="388"/>
    </row>
    <row r="8" spans="1:11" ht="18">
      <c r="A8" t="s" s="497">
        <v>135</v>
      </c>
      <c r="B8" t="s" s="499">
        <v>634</v>
      </c>
      <c r="C8" s="498">
        <v>169366</v>
      </c>
      <c r="D8" s="494">
        <f t="shared" si="0"/>
      </c>
      <c r="E8" s="495">
        <f t="shared" ref="E8:E13" si="2">TEXT(C8, "0") &amp; CHAR(10) &amp;"("&amp; TEXT(D8, "0.00%")&amp;")"</f>
      </c>
      <c r="F8" s="357"/>
      <c r="G8" s="186"/>
      <c r="H8" s="187"/>
      <c r="J8" s="356"/>
      <c r="K8" s="387"/>
    </row>
    <row r="9" spans="1:11" ht="18">
      <c r="A9" t="s" s="497">
        <v>249</v>
      </c>
      <c r="B9" t="s" s="499">
        <v>635</v>
      </c>
      <c r="C9" s="498">
        <v>42240</v>
      </c>
      <c r="D9" s="494">
        <f t="shared" si="0"/>
      </c>
      <c r="E9" s="495">
        <f t="shared" si="2"/>
      </c>
      <c r="F9" s="357"/>
      <c r="G9" s="186"/>
      <c r="H9" s="187"/>
      <c r="J9" s="356"/>
      <c r="K9" s="388"/>
    </row>
    <row r="10" spans="1:11" ht="18">
      <c r="A10" t="s" s="497">
        <v>70</v>
      </c>
      <c r="B10" t="s" s="499">
        <v>636</v>
      </c>
      <c r="C10" s="498">
        <v>116117</v>
      </c>
      <c r="D10" s="494">
        <f t="shared" si="0"/>
      </c>
      <c r="E10" s="495">
        <f t="shared" si="2"/>
      </c>
      <c r="F10" s="357"/>
      <c r="G10" s="186"/>
      <c r="H10" s="187"/>
      <c r="J10" s="356"/>
      <c r="K10" s="387"/>
    </row>
    <row r="11" spans="1:11" ht="18">
      <c r="A11" t="s" s="497">
        <v>139</v>
      </c>
      <c r="B11" t="s" s="499">
        <v>637</v>
      </c>
      <c r="C11" s="498">
        <v>43786</v>
      </c>
      <c r="D11" s="494">
        <f t="shared" ref="D11:D13" si="3">C11/$C$19</f>
      </c>
      <c r="E11" s="495">
        <f t="shared" si="2"/>
      </c>
      <c r="F11" s="98"/>
      <c r="G11" s="186"/>
      <c r="H11" s="188"/>
      <c r="K11" s="388"/>
    </row>
    <row r="12" spans="1:11" ht="18">
      <c r="A12" t="s" s="497">
        <v>638</v>
      </c>
      <c r="B12" t="s" s="499">
        <v>639</v>
      </c>
      <c r="C12" s="498">
        <v>7</v>
      </c>
      <c r="D12" s="494">
        <f t="shared" si="3"/>
      </c>
      <c r="E12" s="495">
        <f t="shared" si="2"/>
      </c>
      <c r="F12" s="96"/>
      <c r="G12" s="186"/>
      <c r="H12" s="188"/>
      <c r="K12" s="387"/>
    </row>
    <row r="13" spans="1:11" ht="23.25">
      <c r="A13" t="s" s="497">
        <v>138</v>
      </c>
      <c r="B13" t="s" s="499">
        <v>640</v>
      </c>
      <c r="C13" s="498">
        <v>104335</v>
      </c>
      <c r="D13" s="494">
        <f t="shared" si="3"/>
      </c>
      <c r="E13" s="495">
        <f t="shared" si="2"/>
      </c>
      <c r="F13" s="61"/>
      <c r="G13" s="61"/>
      <c r="K13" s="388"/>
    </row>
    <row r="14" spans="1:11" ht="15">
      <c r="A14" t="s" s="8">
        <v>68</v>
      </c>
      <c r="B14" t="s" s="38">
        <v>641</v>
      </c>
      <c r="C14" s="184">
        <v>135563</v>
      </c>
      <c r="K14" s="387"/>
    </row>
    <row r="15" spans="1:11" ht="15">
      <c r="A15" t="s" s="8">
        <v>142</v>
      </c>
      <c r="B15" t="s" s="38">
        <v>642</v>
      </c>
      <c r="C15" s="184">
        <v>59918</v>
      </c>
      <c r="K15" s="388"/>
    </row>
    <row r="16" spans="1:11" ht="15">
      <c r="A16" t="s" s="8">
        <v>137</v>
      </c>
      <c r="B16" t="s" s="38">
        <v>643</v>
      </c>
      <c r="C16" s="184">
        <v>36107</v>
      </c>
      <c r="K16" s="387"/>
    </row>
    <row r="17" spans="3:11" ht="15">
      <c r="A17" t="s" s="8">
        <v>136</v>
      </c>
      <c r="B17" t="s" s="38">
        <v>644</v>
      </c>
      <c r="C17" s="184">
        <v>434357</v>
      </c>
      <c r="K17" s="388"/>
    </row>
    <row r="18" spans="3:11" ht="15">
      <c r="A18" t="s" s="8">
        <v>144</v>
      </c>
      <c r="B18" t="s" s="38">
        <v>645</v>
      </c>
      <c r="C18" s="184">
        <v>103956</v>
      </c>
      <c r="K18" s="387"/>
    </row>
    <row r="19" spans="3:11" ht="15">
      <c r="A19" t="s" s="8">
        <v>141</v>
      </c>
      <c r="B19" t="s" s="38">
        <v>646</v>
      </c>
      <c r="C19" s="184">
        <v>273093</v>
      </c>
      <c r="K19" s="388"/>
    </row>
    <row r="20" spans="3:11" ht="15">
      <c r="K20" s="387"/>
    </row>
    <row r="21" spans="3:11" ht="15">
      <c r="K21" s="388"/>
    </row>
    <row r="22" spans="3:11" ht="15">
      <c r="K22" s="387"/>
    </row>
    <row r="23" spans="3:11" ht="15">
      <c r="K23" s="388"/>
    </row>
    <row r="24" spans="3:11" ht="15">
      <c r="K24" s="387"/>
    </row>
    <row r="25" spans="3:11" ht="15">
      <c r="K25" s="388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/>
  <sheetViews>
    <sheetView topLeftCell="B43" zoomScaleNormal="100" workbookViewId="0">
      <selection activeCell="E77" sqref="E77"/>
    </sheetView>
  </sheetViews>
  <sheetFormatPr defaultRowHeight="12.75"/>
  <cols>
    <col min="1" max="1" width="10" customWidth="1"/>
    <col min="2" max="2" width="9.85546875" customWidth="1"/>
    <col min="3" max="3" width="16.42578125" style="8" bestFit="1" customWidth="1"/>
    <col min="4" max="4" width="24" customWidth="1"/>
    <col min="5" max="5" width="24.5703125" customWidth="1"/>
    <col min="7" max="7" width="9.85546875" customWidth="1"/>
    <col min="8" max="8" width="10.28515625" customWidth="1"/>
  </cols>
  <sheetData>
    <row r="1" spans="2:5">
      <c r="C1" t="s" s="563">
        <v>1</v>
      </c>
      <c r="D1" s="564"/>
      <c r="E1" s="565"/>
    </row>
    <row r="2" spans="2:5">
      <c r="C2" s="566"/>
      <c r="D2" s="567"/>
      <c r="E2" s="568"/>
    </row>
    <row r="3" spans="2:5">
      <c r="C3" t="s" s="53">
        <v>30</v>
      </c>
      <c r="D3" t="s" s="9">
        <v>154</v>
      </c>
      <c r="E3" t="s" s="50">
        <v>155</v>
      </c>
    </row>
    <row r="4" spans="2:5">
      <c r="C4" t="s" s="54">
        <v>587</v>
      </c>
      <c r="D4">
        <v>126565</v>
      </c>
      <c r="E4">
        <v>97703</v>
      </c>
    </row>
    <row r="5" spans="2:5">
      <c r="C5" t="s" s="54">
        <v>588</v>
      </c>
      <c r="D5">
        <v>130057</v>
      </c>
      <c r="E5">
        <v>106679</v>
      </c>
    </row>
    <row r="6" spans="2:5">
      <c r="C6" t="s" s="54">
        <v>589</v>
      </c>
      <c r="D6">
        <v>138605</v>
      </c>
      <c r="E6">
        <v>107562</v>
      </c>
    </row>
    <row r="7" spans="2:5">
      <c r="C7" t="s" s="54">
        <v>590</v>
      </c>
      <c r="D7">
        <v>142086</v>
      </c>
      <c r="E7">
        <v>111731</v>
      </c>
    </row>
    <row r="8" spans="2:5">
      <c r="C8" t="s" s="54">
        <v>591</v>
      </c>
      <c r="D8">
        <v>135770</v>
      </c>
      <c r="E8">
        <v>114163</v>
      </c>
    </row>
    <row r="9" spans="2:5">
      <c r="C9" t="s" s="54">
        <v>592</v>
      </c>
      <c r="D9">
        <v>147871</v>
      </c>
      <c r="E9">
        <v>113322</v>
      </c>
    </row>
    <row r="10" spans="2:5">
      <c r="C10" t="s" s="54">
        <v>593</v>
      </c>
      <c r="D10">
        <v>138958</v>
      </c>
      <c r="E10">
        <v>107444</v>
      </c>
    </row>
    <row r="11" spans="2:5">
      <c r="C11" t="s" s="54">
        <v>594</v>
      </c>
      <c r="D11">
        <v>131119</v>
      </c>
      <c r="E11">
        <v>98620</v>
      </c>
    </row>
    <row r="12" spans="2:5">
      <c r="B12" s="1"/>
      <c r="C12" t="s" s="54">
        <v>595</v>
      </c>
      <c r="D12">
        <v>128450</v>
      </c>
      <c r="E12">
        <v>96686</v>
      </c>
    </row>
    <row r="13" spans="2:5">
      <c r="B13" s="1"/>
      <c r="C13" t="s" s="54">
        <v>596</v>
      </c>
      <c r="D13">
        <v>125979</v>
      </c>
      <c r="E13">
        <v>96091</v>
      </c>
    </row>
    <row r="14" spans="2:5" ht="12.75" customHeight="1">
      <c r="B14" s="1"/>
      <c r="C14" t="s" s="54">
        <v>597</v>
      </c>
      <c r="D14">
        <v>121732</v>
      </c>
      <c r="E14">
        <v>95271</v>
      </c>
    </row>
    <row r="15" spans="2:5">
      <c r="B15" s="1"/>
      <c r="C15" t="s" s="54">
        <v>598</v>
      </c>
      <c r="D15">
        <v>116690</v>
      </c>
      <c r="E15">
        <v>95292</v>
      </c>
    </row>
    <row r="16" spans="2:5">
      <c r="B16" s="1"/>
      <c r="C16" t="s" s="54">
        <v>599</v>
      </c>
      <c r="D16">
        <v>118494</v>
      </c>
      <c r="E16">
        <v>88133</v>
      </c>
    </row>
    <row r="17" spans="2:8">
      <c r="B17" s="1"/>
      <c r="C17" t="s" s="54">
        <v>600</v>
      </c>
      <c r="D17">
        <v>118105</v>
      </c>
      <c r="E17">
        <v>88813</v>
      </c>
    </row>
    <row r="18" spans="2:8">
      <c r="B18" s="1"/>
      <c r="C18" t="s" s="54">
        <v>601</v>
      </c>
      <c r="D18">
        <v>121933</v>
      </c>
      <c r="E18">
        <v>92487</v>
      </c>
    </row>
    <row r="19" spans="2:8">
      <c r="B19" s="1"/>
      <c r="C19" t="s" s="54">
        <v>602</v>
      </c>
      <c r="D19">
        <v>124581</v>
      </c>
      <c r="E19">
        <v>92688</v>
      </c>
    </row>
    <row r="20" spans="2:8">
      <c r="B20" s="1"/>
      <c r="C20" t="s" s="54">
        <v>603</v>
      </c>
      <c r="D20">
        <v>120926</v>
      </c>
      <c r="E20">
        <v>92479</v>
      </c>
    </row>
    <row r="21" spans="2:8">
      <c r="B21" s="1"/>
      <c r="C21" t="s" s="54">
        <v>604</v>
      </c>
      <c r="D21">
        <v>117065</v>
      </c>
      <c r="E21">
        <v>93537</v>
      </c>
    </row>
    <row r="22" spans="2:8">
      <c r="B22" s="1"/>
      <c r="C22" t="s" s="54">
        <v>605</v>
      </c>
      <c r="D22">
        <v>120535</v>
      </c>
      <c r="E22">
        <v>101602</v>
      </c>
    </row>
    <row r="23" spans="2:8">
      <c r="B23" s="1"/>
      <c r="C23" t="s" s="54">
        <v>606</v>
      </c>
      <c r="D23">
        <v>103954</v>
      </c>
      <c r="E23">
        <v>84104</v>
      </c>
    </row>
    <row r="24" spans="2:8">
      <c r="B24" s="1"/>
      <c r="C24" t="s" s="54">
        <v>607</v>
      </c>
      <c r="D24">
        <v>118972</v>
      </c>
      <c r="E24">
        <v>93236</v>
      </c>
    </row>
    <row r="25" spans="2:8">
      <c r="B25" s="1"/>
      <c r="C25" t="s" s="54">
        <v>608</v>
      </c>
      <c r="D25">
        <v>134400</v>
      </c>
      <c r="E25">
        <v>99716</v>
      </c>
    </row>
    <row r="26" spans="2:8">
      <c r="B26" s="1"/>
      <c r="C26" t="s" s="54">
        <v>609</v>
      </c>
      <c r="D26">
        <v>138516</v>
      </c>
      <c r="E26">
        <v>102049</v>
      </c>
    </row>
    <row r="27" spans="2:8">
      <c r="C27" t="s" s="54">
        <v>610</v>
      </c>
      <c r="D27">
        <v>139585</v>
      </c>
      <c r="E27">
        <v>108345</v>
      </c>
    </row>
    <row r="28" spans="2:8">
      <c r="C28" t="s" s="54">
        <v>611</v>
      </c>
      <c r="D28">
        <v>138583</v>
      </c>
      <c r="E28">
        <v>113125</v>
      </c>
      <c r="G28" s="34"/>
      <c r="H28" s="5"/>
    </row>
    <row r="29" spans="2:8">
      <c r="C29" t="s" s="54">
        <v>612</v>
      </c>
      <c r="D29">
        <v>138184</v>
      </c>
      <c r="E29">
        <v>117857</v>
      </c>
    </row>
    <row r="30" spans="2:8">
      <c r="C30" t="s" s="54">
        <v>613</v>
      </c>
      <c r="D30">
        <v>137625</v>
      </c>
      <c r="E30">
        <v>106826</v>
      </c>
    </row>
    <row r="31" spans="2:8">
      <c r="C31" t="s" s="54">
        <v>614</v>
      </c>
      <c r="D31">
        <v>125614</v>
      </c>
      <c r="E31">
        <v>96061</v>
      </c>
    </row>
    <row r="32" spans="2:8">
      <c r="C32" t="s" s="54">
        <v>615</v>
      </c>
      <c r="D32">
        <v>121587</v>
      </c>
      <c r="E32">
        <v>92005</v>
      </c>
    </row>
    <row r="33" spans="3:18">
      <c r="C33" t="s" s="54">
        <v>616</v>
      </c>
      <c r="D33">
        <v>117554</v>
      </c>
      <c r="E33">
        <v>89681</v>
      </c>
      <c r="H33" s="1"/>
    </row>
    <row r="34" spans="3:18" ht="13.5" thickBot="1">
      <c r="C34" t="s" s="54">
        <v>617</v>
      </c>
      <c r="D34">
        <v>113514</v>
      </c>
      <c r="E34">
        <v>87906</v>
      </c>
      <c r="H34" s="569">
        <f>D35 &amp; " pages has been viewed overall, average page view per day is " &amp; D36 &amp; ". Page views - lowest on " &amp; TEXT(D38, "dddd, mmmm dd") &amp; IF(OR(DAY(D38)=1, DAY(D38)=21, DAY(D38)=31), "st", IF(OR(DAY(D38)=2, DAY(D38)=22), "nd", IF(OR(DAY(D38)=3, DAY(D38)=23), "rd", "th"))) &amp; ", " &amp; TEXT(D38, "yyyy") &amp; " (" &amp; D37 &amp; "). " &amp; E35 &amp; " pages has been viewed only on mobile, average page view per day is " &amp; E36 &amp; ". Page views - lowest on " &amp; TEXT(E38, "dddd, mmmm dd") &amp; IF(OR(DAY(E38)=1, DAY(E38)=21, DAY(E38)=31), "st", IF(OR(DAY(E38)=2, DAY(E38)=22), "nd", IF(OR(DAY(E38)=3, DAY(E38)=23), "rd", "th"))) &amp; ", " &amp; TEXT(E38, "yyyy") &amp; " (" &amp; E37 &amp; ")."</f>
      </c>
      <c r="I34" s="569"/>
      <c r="J34" s="569"/>
      <c r="K34" s="569"/>
      <c r="L34" s="569"/>
      <c r="M34" s="569"/>
      <c r="N34" s="569"/>
      <c r="O34" s="569"/>
      <c r="P34" s="569"/>
      <c r="Q34" s="569"/>
      <c r="R34" s="569"/>
    </row>
    <row r="35" spans="3:18" ht="20.25">
      <c r="C35" t="s" s="62">
        <v>168</v>
      </c>
      <c r="D35" s="45">
        <f>SUM(D4:D34)</f>
      </c>
      <c r="E35" s="46">
        <f>SUM(E4:E34)</f>
      </c>
      <c r="H35" s="569"/>
      <c r="I35" s="569"/>
      <c r="J35" s="569"/>
      <c r="K35" s="569"/>
      <c r="L35" s="569"/>
      <c r="M35" s="569"/>
      <c r="N35" s="569"/>
      <c r="O35" s="569"/>
      <c r="P35" s="569"/>
      <c r="Q35" s="569"/>
      <c r="R35" s="569"/>
    </row>
    <row r="36" spans="3:18">
      <c r="C36" t="s" s="62">
        <v>169</v>
      </c>
      <c r="D36" s="47">
        <f>ROUND(AVERAGE(D4:D34),0)</f>
      </c>
      <c r="E36" s="48">
        <f>ROUND(AVERAGE(E4:E34),0)</f>
      </c>
      <c r="H36" s="569"/>
      <c r="I36" s="569"/>
      <c r="J36" s="569"/>
      <c r="K36" s="569"/>
      <c r="L36" s="569"/>
      <c r="M36" s="569"/>
      <c r="N36" s="569"/>
      <c r="O36" s="569"/>
      <c r="P36" s="569"/>
      <c r="Q36" s="569"/>
      <c r="R36" s="569"/>
    </row>
    <row r="37" spans="3:18">
      <c r="C37" t="s" s="62">
        <v>170</v>
      </c>
      <c r="D37" s="49">
        <f>MIN(D4:D34)</f>
      </c>
      <c r="E37" s="50">
        <f>MIN(E4:E34)</f>
      </c>
      <c r="H37" s="569"/>
      <c r="I37" s="569"/>
      <c r="J37" s="569"/>
      <c r="K37" s="569"/>
      <c r="L37" s="569"/>
      <c r="M37" s="569"/>
      <c r="N37" s="569"/>
      <c r="O37" s="569"/>
      <c r="P37" s="569"/>
      <c r="Q37" s="569"/>
      <c r="R37" s="569"/>
    </row>
    <row r="38" spans="3:18" ht="13.5" thickBot="1">
      <c r="C38" t="s" s="63">
        <v>171</v>
      </c>
      <c r="D38" s="51">
        <f>INDEX(C4:C34,MATCH(MIN(D4:D34),D4:D34,0))</f>
      </c>
      <c r="E38" s="52">
        <f>INDEX(C4:C34,MATCH(MIN(E4:E34),E4:E34,0))</f>
      </c>
      <c r="H38" s="569"/>
      <c r="I38" s="569"/>
      <c r="J38" s="569"/>
      <c r="K38" s="569"/>
      <c r="L38" s="569"/>
      <c r="M38" s="569"/>
      <c r="N38" s="569"/>
      <c r="O38" s="569"/>
      <c r="P38" s="569"/>
      <c r="Q38" s="569"/>
      <c r="R38" s="569"/>
    </row>
    <row r="39" spans="3:18">
      <c r="H39" s="569"/>
      <c r="I39" s="569"/>
      <c r="J39" s="569"/>
      <c r="K39" s="569"/>
      <c r="L39" s="569"/>
      <c r="M39" s="569"/>
      <c r="N39" s="569"/>
      <c r="O39" s="569"/>
      <c r="P39" s="569"/>
      <c r="Q39" s="569"/>
      <c r="R39" s="569"/>
    </row>
    <row r="41" spans="3:18" ht="13.5" thickBot="1"/>
    <row r="42" spans="3:18">
      <c r="C42" t="s" s="557">
        <v>156</v>
      </c>
      <c r="D42" s="558"/>
      <c r="E42" s="559"/>
    </row>
    <row r="43" spans="3:18">
      <c r="C43" s="560"/>
      <c r="D43" s="561"/>
      <c r="E43" s="562"/>
    </row>
    <row r="44" spans="3:18" ht="15.75">
      <c r="C44" t="s" s="53">
        <v>30</v>
      </c>
      <c r="D44" t="s" s="9">
        <v>157</v>
      </c>
      <c r="E44" t="s" s="50">
        <v>158</v>
      </c>
      <c r="K44" s="39"/>
    </row>
    <row r="45" spans="3:18">
      <c r="C45" t="s" s="54">
        <v>587</v>
      </c>
      <c r="D45">
        <v>52183</v>
      </c>
      <c r="E45">
        <v>45356</v>
      </c>
    </row>
    <row r="46" spans="3:18">
      <c r="C46" t="s" s="54">
        <v>588</v>
      </c>
      <c r="D46">
        <v>55606</v>
      </c>
      <c r="E46">
        <v>49077</v>
      </c>
    </row>
    <row r="47" spans="3:18">
      <c r="C47" t="s" s="54">
        <v>589</v>
      </c>
      <c r="D47">
        <v>59125</v>
      </c>
      <c r="E47">
        <v>51027</v>
      </c>
    </row>
    <row r="48" spans="3:18">
      <c r="C48" t="s" s="54">
        <v>590</v>
      </c>
      <c r="D48">
        <v>59705</v>
      </c>
      <c r="E48">
        <v>52729</v>
      </c>
    </row>
    <row r="49" spans="3:5">
      <c r="C49" t="s" s="54">
        <v>591</v>
      </c>
      <c r="D49">
        <v>58354</v>
      </c>
      <c r="E49">
        <v>52795</v>
      </c>
    </row>
    <row r="50" spans="3:5">
      <c r="C50" t="s" s="54">
        <v>592</v>
      </c>
      <c r="D50">
        <v>64107</v>
      </c>
      <c r="E50">
        <v>55545</v>
      </c>
    </row>
    <row r="51" spans="3:5">
      <c r="C51" t="s" s="54">
        <v>593</v>
      </c>
      <c r="D51">
        <v>59707</v>
      </c>
      <c r="E51">
        <v>52016</v>
      </c>
    </row>
    <row r="52" spans="3:5">
      <c r="C52" t="s" s="54">
        <v>594</v>
      </c>
      <c r="D52">
        <v>53775</v>
      </c>
      <c r="E52">
        <v>45619</v>
      </c>
    </row>
    <row r="53" spans="3:5">
      <c r="C53" t="s" s="54">
        <v>595</v>
      </c>
      <c r="D53">
        <v>51910</v>
      </c>
      <c r="E53">
        <v>44003</v>
      </c>
    </row>
    <row r="54" spans="3:5">
      <c r="C54" t="s" s="54">
        <v>596</v>
      </c>
      <c r="D54">
        <v>51778</v>
      </c>
      <c r="E54">
        <v>44240</v>
      </c>
    </row>
    <row r="55" spans="3:5">
      <c r="C55" t="s" s="54">
        <v>597</v>
      </c>
      <c r="D55">
        <v>48925</v>
      </c>
      <c r="E55">
        <v>42716</v>
      </c>
    </row>
    <row r="56" spans="3:5">
      <c r="C56" t="s" s="54">
        <v>598</v>
      </c>
      <c r="D56">
        <v>47080</v>
      </c>
      <c r="E56">
        <v>41834</v>
      </c>
    </row>
    <row r="57" spans="3:5">
      <c r="C57" t="s" s="54">
        <v>599</v>
      </c>
      <c r="D57">
        <v>46873</v>
      </c>
      <c r="E57">
        <v>39241</v>
      </c>
    </row>
    <row r="58" spans="3:5">
      <c r="C58" t="s" s="54">
        <v>600</v>
      </c>
      <c r="D58">
        <v>48295</v>
      </c>
      <c r="E58">
        <v>40453</v>
      </c>
    </row>
    <row r="59" spans="3:5">
      <c r="C59" t="s" s="54">
        <v>601</v>
      </c>
      <c r="D59">
        <v>52788</v>
      </c>
      <c r="E59">
        <v>43973</v>
      </c>
    </row>
    <row r="60" spans="3:5">
      <c r="C60" t="s" s="54">
        <v>602</v>
      </c>
      <c r="D60">
        <v>53782</v>
      </c>
      <c r="E60">
        <v>43515</v>
      </c>
    </row>
    <row r="61" spans="3:5">
      <c r="C61" t="s" s="54">
        <v>603</v>
      </c>
      <c r="D61">
        <v>51266</v>
      </c>
      <c r="E61">
        <v>42509</v>
      </c>
    </row>
    <row r="62" spans="3:5">
      <c r="C62" t="s" s="54">
        <v>604</v>
      </c>
      <c r="D62">
        <v>47763</v>
      </c>
      <c r="E62">
        <v>41344</v>
      </c>
    </row>
    <row r="63" spans="3:5">
      <c r="C63" t="s" s="54">
        <v>605</v>
      </c>
      <c r="D63">
        <v>49480</v>
      </c>
      <c r="E63">
        <v>44374</v>
      </c>
    </row>
    <row r="64" spans="3:5">
      <c r="C64" t="s" s="54">
        <v>606</v>
      </c>
      <c r="D64">
        <v>43911</v>
      </c>
      <c r="E64">
        <v>38054</v>
      </c>
    </row>
    <row r="65" spans="3:5">
      <c r="C65" t="s" s="54">
        <v>607</v>
      </c>
      <c r="D65">
        <v>52234</v>
      </c>
      <c r="E65">
        <v>44326</v>
      </c>
    </row>
    <row r="66" spans="3:5">
      <c r="C66" t="s" s="54">
        <v>608</v>
      </c>
      <c r="D66">
        <v>63200</v>
      </c>
      <c r="E66">
        <v>49138</v>
      </c>
    </row>
    <row r="67" spans="3:5">
      <c r="C67" t="s" s="54">
        <v>609</v>
      </c>
      <c r="D67">
        <v>65146</v>
      </c>
      <c r="E67">
        <v>50146</v>
      </c>
    </row>
    <row r="68" spans="3:5">
      <c r="C68" t="s" s="54">
        <v>610</v>
      </c>
      <c r="D68">
        <v>61714</v>
      </c>
      <c r="E68">
        <v>51980</v>
      </c>
    </row>
    <row r="69" spans="3:5">
      <c r="C69" t="s" s="54">
        <v>611</v>
      </c>
      <c r="D69">
        <v>59606</v>
      </c>
      <c r="E69">
        <v>53473</v>
      </c>
    </row>
    <row r="70" spans="3:5">
      <c r="C70" t="s" s="54">
        <v>612</v>
      </c>
      <c r="D70">
        <v>59686</v>
      </c>
      <c r="E70">
        <v>54650</v>
      </c>
    </row>
    <row r="71" spans="3:5">
      <c r="C71" t="s" s="54">
        <v>613</v>
      </c>
      <c r="D71">
        <v>57324</v>
      </c>
      <c r="E71">
        <v>50002</v>
      </c>
    </row>
    <row r="72" spans="3:5">
      <c r="C72" t="s" s="54">
        <v>614</v>
      </c>
      <c r="D72">
        <v>51544</v>
      </c>
      <c r="E72">
        <v>44403</v>
      </c>
    </row>
    <row r="73" spans="3:5">
      <c r="C73" t="s" s="54">
        <v>615</v>
      </c>
      <c r="D73">
        <v>50441</v>
      </c>
      <c r="E73">
        <v>43418</v>
      </c>
    </row>
    <row r="74" spans="3:5">
      <c r="C74" t="s" s="54">
        <v>616</v>
      </c>
      <c r="D74">
        <v>48416</v>
      </c>
      <c r="E74">
        <v>41852</v>
      </c>
    </row>
    <row r="75" spans="3:5" ht="13.5" thickBot="1">
      <c r="C75" t="s" s="54">
        <v>617</v>
      </c>
      <c r="D75">
        <v>47933</v>
      </c>
      <c r="E75">
        <v>41991</v>
      </c>
    </row>
    <row r="76" spans="3:5" ht="15.75">
      <c r="C76" s="58"/>
      <c r="D76" s="55">
        <f>SUM(D45:D75)</f>
      </c>
      <c r="E76" s="56">
        <f>SUM(E45:E75)</f>
      </c>
    </row>
    <row r="77" spans="3:5" ht="13.5" thickBot="1">
      <c r="C77" s="59"/>
      <c r="D77" s="44">
        <f>ROUND(AVERAGE(D45:D75),0)</f>
      </c>
      <c r="E77" s="57">
        <f>ROUND(AVERAGE(E45:E75),0)</f>
      </c>
    </row>
    <row r="95" spans="10:10">
      <c r="J95" s="1"/>
    </row>
    <row r="97" spans="4:10" ht="14.25">
      <c r="J97" s="96"/>
    </row>
    <row r="98" spans="4:10" ht="14.25">
      <c r="J98" s="96"/>
    </row>
    <row r="106" spans="4:10">
      <c r="D106" s="1"/>
    </row>
    <row r="109" spans="4:10" ht="21">
      <c r="D109" s="21"/>
    </row>
    <row r="110" spans="4:10" ht="21">
      <c r="D110" s="21"/>
    </row>
    <row r="111" spans="4:10" ht="21">
      <c r="D111" s="21"/>
    </row>
    <row r="112" spans="4:10" ht="21">
      <c r="D112" s="21"/>
    </row>
    <row r="113" spans="4:4" ht="21">
      <c r="D113" s="21"/>
    </row>
    <row r="114" spans="4:4" ht="21">
      <c r="D114" s="21"/>
    </row>
  </sheetData>
  <mergeCells count="3">
    <mergeCell ref="C42:E43"/>
    <mergeCell ref="C1:E2"/>
    <mergeCell ref="H34:R39"/>
  </mergeCells>
  <phoneticPr fontId="0" type="noConversion"/>
  <pageMargins left="0.75" right="0.75" top="1" bottom="1" header="0.5" footer="0.5"/>
  <pageSetup paperSize="9" orientation="portrait" horizontalDpi="1200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sheetViews>
    <sheetView zoomScale="85" zoomScaleNormal="85" workbookViewId="0">
      <selection activeCell="O30" sqref="O30"/>
    </sheetView>
  </sheetViews>
  <sheetFormatPr defaultRowHeight="12.75"/>
  <cols>
    <col min="1" max="1" width="11.28515625" customWidth="1"/>
    <col min="2" max="2" width="11.85546875" customWidth="1"/>
    <col min="3" max="3" width="9" customWidth="1"/>
    <col min="4" max="4" width="11.7109375" style="60" customWidth="1"/>
    <col min="6" max="6" width="11.5703125" style="60" customWidth="1"/>
    <col min="7" max="7" width="10.140625" bestFit="1" customWidth="1"/>
    <col min="26" max="27" width="9.140625" customWidth="1"/>
  </cols>
  <sheetData>
    <row r="1" spans="1:4">
      <c r="A1" t="s" s="133">
        <v>262</v>
      </c>
      <c r="B1" t="s" s="134">
        <v>0</v>
      </c>
      <c r="C1" t="s" s="133">
        <v>262</v>
      </c>
      <c r="D1" t="s" s="134">
        <v>0</v>
      </c>
    </row>
    <row r="2" spans="1:4">
      <c r="A2" t="s" s="135">
        <v>267</v>
      </c>
      <c r="B2" s="140">
        <v>1386083</v>
      </c>
      <c r="C2" t="s" s="135">
        <v>267</v>
      </c>
      <c r="D2" s="144">
        <v>1127700</v>
      </c>
    </row>
    <row r="3" spans="1:4" ht="14.25">
      <c r="A3" t="s" s="135">
        <v>268</v>
      </c>
      <c r="B3" s="141">
        <v>3436416</v>
      </c>
      <c r="C3" t="s" s="135">
        <v>268</v>
      </c>
      <c r="D3" s="137">
        <v>3122151</v>
      </c>
    </row>
    <row r="4" spans="1:4" ht="14.25">
      <c r="A4" t="s" s="135">
        <v>438</v>
      </c>
      <c r="B4" s="142">
        <v>4167538</v>
      </c>
      <c r="C4" t="s" s="135">
        <v>438</v>
      </c>
      <c r="D4" s="138">
        <v>3844822</v>
      </c>
    </row>
    <row r="5" spans="1:4" ht="14.25">
      <c r="A5" t="s" s="135">
        <v>467</v>
      </c>
      <c r="B5" s="143">
        <v>1883860</v>
      </c>
      <c r="C5" t="s" s="135">
        <v>467</v>
      </c>
      <c r="D5" s="136">
        <v>1585494</v>
      </c>
    </row>
    <row r="6" spans="1:4" ht="14.25">
      <c r="A6" t="s" s="135">
        <v>519</v>
      </c>
      <c r="B6" s="143">
        <v>2306319</v>
      </c>
      <c r="C6" t="s" s="135">
        <v>519</v>
      </c>
      <c r="D6" s="139">
        <v>1941298</v>
      </c>
    </row>
    <row r="7" spans="1:4" ht="14.25">
      <c r="A7" t="s" s="135">
        <v>621</v>
      </c>
      <c r="B7" s="143">
        <v>2295204</v>
      </c>
      <c r="C7" t="s" s="135">
        <v>621</v>
      </c>
      <c r="D7" s="139">
        <v>1903070</v>
      </c>
    </row>
    <row r="8" spans="1:4">
      <c r="C8" s="7"/>
      <c r="D8" s="119"/>
    </row>
    <row r="9" spans="1:4">
      <c r="C9" s="7"/>
      <c r="D9" s="119"/>
    </row>
    <row r="10" spans="1:4">
      <c r="C10" s="7"/>
      <c r="D10" s="119"/>
    </row>
    <row r="11" spans="1:4">
      <c r="C11" s="7"/>
      <c r="D11" s="119"/>
    </row>
    <row r="12" spans="1:4">
      <c r="C12" s="7"/>
      <c r="D12" s="119"/>
    </row>
    <row r="13" spans="1:4">
      <c r="C13" s="7"/>
      <c r="D13" s="119"/>
    </row>
    <row r="14" spans="1:4">
      <c r="C14" s="7"/>
      <c r="D14" s="119"/>
    </row>
    <row r="15" spans="1:4">
      <c r="C15" s="7"/>
      <c r="D15" s="119"/>
    </row>
    <row r="16" spans="1:4">
      <c r="C16" s="7"/>
      <c r="D16" s="119"/>
    </row>
    <row r="17" spans="3:27">
      <c r="C17" s="7"/>
      <c r="D17" s="120"/>
    </row>
    <row r="18" spans="3:27">
      <c r="C18" s="7"/>
      <c r="D18" s="119"/>
    </row>
    <row r="19" spans="3:27">
      <c r="C19" s="7"/>
      <c r="D19" s="119"/>
    </row>
    <row r="20" spans="3:27">
      <c r="C20" s="7"/>
      <c r="D20" s="119"/>
    </row>
    <row r="21" spans="3:27">
      <c r="C21" s="7"/>
      <c r="D21" s="119"/>
    </row>
    <row r="22" spans="3:27">
      <c r="C22" s="7"/>
      <c r="D22" s="121"/>
    </row>
    <row r="23" spans="3:27">
      <c r="C23" s="7"/>
      <c r="D23" s="122"/>
    </row>
    <row r="24" spans="3:27">
      <c r="C24" s="7"/>
      <c r="D24" s="123"/>
    </row>
    <row r="25" spans="3:27">
      <c r="C25" s="7"/>
      <c r="D25" s="123"/>
    </row>
    <row r="26" spans="3:27">
      <c r="C26" s="7"/>
      <c r="D26" s="123"/>
    </row>
    <row r="27" spans="3:27">
      <c r="C27" s="7"/>
      <c r="D27" s="123"/>
    </row>
    <row r="28" spans="3:27">
      <c r="C28" s="7"/>
      <c r="D28" s="123"/>
    </row>
    <row r="29" spans="3:27">
      <c r="C29" s="7"/>
      <c r="D29" s="121"/>
    </row>
    <row r="30" spans="3:27">
      <c r="C30" s="7"/>
      <c r="D30" s="121"/>
    </row>
    <row r="31" spans="3:27">
      <c r="C31" s="7"/>
      <c r="D31" s="121"/>
    </row>
    <row r="32" spans="3:27">
      <c r="C32" s="7"/>
      <c r="D32" s="121"/>
      <c r="K32" t="s" s="570">
        <v>159</v>
      </c>
      <c r="L32" s="570"/>
      <c r="M32" s="570"/>
      <c r="N32" s="570"/>
      <c r="O32" s="570"/>
      <c r="W32" t="s" s="570">
        <v>160</v>
      </c>
      <c r="X32" s="570"/>
      <c r="Y32" s="570"/>
      <c r="Z32" s="570"/>
      <c r="AA32" s="570"/>
    </row>
    <row r="33" spans="3:27" ht="12.75" customHeight="1">
      <c r="C33" s="7"/>
      <c r="D33" s="121"/>
      <c r="K33" s="570"/>
      <c r="L33" s="570"/>
      <c r="M33" s="570"/>
      <c r="N33" s="570"/>
      <c r="O33" s="570"/>
      <c r="W33" s="570"/>
      <c r="X33" s="570"/>
      <c r="Y33" s="570"/>
      <c r="Z33" s="570"/>
      <c r="AA33" s="570"/>
    </row>
    <row r="34" spans="3:27" ht="12.75" customHeight="1">
      <c r="C34" s="7"/>
      <c r="D34" s="121"/>
      <c r="K34" s="570"/>
      <c r="L34" s="570"/>
      <c r="M34" s="570"/>
      <c r="N34" s="570"/>
      <c r="O34" s="570"/>
      <c r="W34" s="570"/>
      <c r="X34" s="570"/>
      <c r="Y34" s="570"/>
      <c r="Z34" s="570"/>
      <c r="AA34" s="570"/>
    </row>
    <row r="35" spans="3:27" ht="12.75" customHeight="1">
      <c r="C35" s="7"/>
      <c r="D35" s="121"/>
      <c r="K35" s="570"/>
      <c r="L35" s="570"/>
      <c r="M35" s="570"/>
      <c r="N35" s="570"/>
      <c r="O35" s="570"/>
      <c r="W35" s="570"/>
      <c r="X35" s="570"/>
      <c r="Y35" s="570"/>
      <c r="Z35" s="570"/>
      <c r="AA35" s="570"/>
    </row>
    <row r="36" spans="3:27">
      <c r="C36" s="7"/>
      <c r="D36" s="121"/>
    </row>
    <row r="37" spans="3:27">
      <c r="C37" s="7"/>
      <c r="D37" s="121"/>
    </row>
    <row r="38" spans="3:27">
      <c r="C38" s="7"/>
      <c r="D38" s="121"/>
    </row>
    <row r="39" spans="3:27">
      <c r="C39" s="7"/>
      <c r="D39" s="121"/>
    </row>
    <row r="40" spans="3:27">
      <c r="C40" s="7"/>
      <c r="D40" s="121"/>
    </row>
    <row r="41" spans="3:27">
      <c r="C41" s="7"/>
    </row>
    <row r="42" spans="3:27">
      <c r="C42" s="7"/>
      <c r="D42" s="121"/>
    </row>
    <row r="43" spans="3:27">
      <c r="C43" s="7"/>
      <c r="D43" s="121"/>
    </row>
    <row r="44" spans="3:27">
      <c r="C44" s="7"/>
      <c r="D44" s="121"/>
    </row>
    <row r="45" spans="3:27">
      <c r="C45" s="7"/>
      <c r="D45" s="121"/>
    </row>
    <row r="46" spans="3:27">
      <c r="C46" s="7"/>
      <c r="D46" s="121"/>
    </row>
    <row r="47" spans="3:27">
      <c r="C47" s="7"/>
      <c r="D47" s="122"/>
    </row>
    <row r="48" spans="3:27">
      <c r="C48" s="7"/>
      <c r="D48" s="121"/>
      <c r="F48" s="124"/>
      <c r="G48" s="3"/>
    </row>
    <row r="49" spans="3:8">
      <c r="C49" s="7"/>
      <c r="D49" s="121"/>
      <c r="F49" s="124"/>
      <c r="G49" s="3"/>
    </row>
    <row r="50" spans="3:8">
      <c r="C50" s="7"/>
      <c r="D50" s="121"/>
      <c r="F50" s="124"/>
      <c r="G50" s="3"/>
    </row>
    <row r="51" spans="3:8">
      <c r="C51" s="7"/>
      <c r="D51" s="121"/>
      <c r="F51" s="124"/>
      <c r="G51" s="3"/>
    </row>
    <row r="52" spans="3:8">
      <c r="C52" s="129"/>
      <c r="D52" s="130"/>
      <c r="E52" s="131"/>
      <c r="F52" s="132"/>
      <c r="G52" s="3"/>
    </row>
    <row r="53" spans="3:8">
      <c r="C53" s="130"/>
      <c r="D53" s="130"/>
      <c r="E53" s="132"/>
      <c r="F53" s="132"/>
      <c r="G53" s="3"/>
    </row>
    <row r="54" spans="3:8" ht="14.25">
      <c r="C54" s="7"/>
      <c r="D54" s="121"/>
      <c r="E54" s="7"/>
      <c r="F54" s="125"/>
      <c r="G54" s="42"/>
    </row>
    <row r="55" spans="3:8" ht="14.25">
      <c r="C55" s="7"/>
      <c r="D55" s="121"/>
      <c r="E55" s="7"/>
      <c r="F55" s="125"/>
      <c r="G55" s="42"/>
    </row>
    <row r="56" spans="3:8" ht="14.25">
      <c r="C56" s="7"/>
      <c r="D56" s="122"/>
      <c r="E56" s="7"/>
      <c r="F56" s="125"/>
      <c r="G56" s="42"/>
    </row>
    <row r="57" spans="3:8" ht="14.25">
      <c r="C57" s="7"/>
      <c r="D57" s="122"/>
      <c r="E57" s="7"/>
      <c r="F57" s="125"/>
      <c r="G57" s="42"/>
    </row>
    <row r="58" spans="3:8" ht="14.25">
      <c r="C58" s="7"/>
      <c r="D58" s="126"/>
      <c r="E58" s="7"/>
      <c r="F58" s="125"/>
      <c r="G58" s="42"/>
    </row>
    <row r="59" spans="3:8" ht="14.25">
      <c r="C59" s="7"/>
      <c r="D59" s="125"/>
      <c r="E59" s="7"/>
      <c r="F59" s="125"/>
      <c r="G59" s="43"/>
    </row>
    <row r="60" spans="3:8">
      <c r="C60" s="7"/>
      <c r="D60" s="121"/>
      <c r="E60" s="7"/>
      <c r="F60" s="121"/>
    </row>
    <row r="61" spans="3:8" ht="14.25">
      <c r="C61" s="7"/>
      <c r="D61" s="127"/>
      <c r="E61" s="7"/>
      <c r="F61"/>
    </row>
    <row r="62" spans="3:8" ht="14.25">
      <c r="C62" s="7"/>
      <c r="D62" s="96"/>
      <c r="E62" s="7"/>
      <c r="F62" s="96"/>
    </row>
    <row r="63" spans="3:8">
      <c r="C63" s="7"/>
      <c r="D63" s="121"/>
      <c r="E63" s="7"/>
    </row>
    <row r="64" spans="3:8">
      <c r="C64" s="7"/>
      <c r="D64" s="121"/>
      <c r="E64" s="7"/>
      <c r="H64" s="36"/>
    </row>
    <row r="65" spans="3:6" ht="14.25">
      <c r="C65" s="7"/>
      <c r="D65" s="97"/>
      <c r="E65" s="7"/>
      <c r="F65" s="97"/>
    </row>
    <row r="66" spans="3:6" ht="14.25">
      <c r="C66" s="7"/>
      <c r="D66" s="99"/>
      <c r="E66" s="7"/>
      <c r="F66" s="99"/>
    </row>
    <row r="67" spans="3:6" ht="14.25">
      <c r="C67" s="7"/>
      <c r="D67" s="128"/>
      <c r="E67" s="7"/>
      <c r="F67" s="121"/>
    </row>
    <row r="68" spans="3:6" ht="14.25">
      <c r="C68" s="7"/>
      <c r="D68" s="128"/>
      <c r="E68" s="7"/>
      <c r="F68" s="128"/>
    </row>
    <row r="202" ht="15.75" customHeight="1"/>
  </sheetData>
  <mergeCells count="2">
    <mergeCell ref="W32:AA35"/>
    <mergeCell ref="K32:O35"/>
  </mergeCells>
  <phoneticPr fontId="0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/>
  <sheetViews>
    <sheetView zoomScaleNormal="100" workbookViewId="0">
      <selection activeCell="B14" sqref="B14:C18"/>
    </sheetView>
  </sheetViews>
  <sheetFormatPr defaultRowHeight="12.75"/>
  <cols>
    <col min="1" max="1" width="11" style="145" bestFit="1" customWidth="1"/>
    <col min="2" max="2" width="27.5703125" style="145" customWidth="1"/>
    <col min="3" max="3" width="23.5703125" style="145" bestFit="1" customWidth="1"/>
    <col min="4" max="4" width="12.140625" style="145" customWidth="1"/>
    <col min="5" max="5" width="12.5703125" style="145" customWidth="1"/>
    <col min="6" max="6" width="8.28515625" style="145" customWidth="1"/>
    <col min="7" max="7" width="9.140625" style="145"/>
    <col min="8" max="8" width="16" style="145" customWidth="1"/>
    <col min="9" max="9" width="26.140625" style="145" customWidth="1"/>
    <col min="10" max="10" width="27.140625" style="145" bestFit="1" customWidth="1"/>
    <col min="11" max="11" width="11.42578125" style="145" customWidth="1"/>
    <col min="12" max="12" width="9.85546875" style="145" bestFit="1" customWidth="1"/>
    <col min="13" max="13" width="14.42578125" style="145" customWidth="1"/>
    <col min="14" max="15" width="9.140625" style="145"/>
    <col min="16" max="16" width="12.28515625" style="145" customWidth="1"/>
    <col min="17" max="17" width="10.5703125" style="145" customWidth="1"/>
    <col min="18" max="18" width="9.5703125" style="145" customWidth="1"/>
    <col min="19" max="19" width="9.85546875" style="145" customWidth="1"/>
    <col min="20" max="20" width="11.85546875" style="145" bestFit="1" customWidth="1"/>
    <col min="21" max="21" width="9.85546875" style="145" bestFit="1" customWidth="1"/>
    <col min="22" max="22" width="9.140625" style="147"/>
    <col min="23" max="25" width="9.140625" style="145"/>
    <col min="26" max="26" width="11" style="145" bestFit="1" customWidth="1"/>
    <col min="27" max="32" width="9.140625" style="145"/>
    <col min="33" max="33" width="12" style="145" bestFit="1" customWidth="1"/>
    <col min="34" max="16384" width="9.140625" style="145"/>
  </cols>
  <sheetData>
    <row r="1" spans="1:19">
      <c r="A1" t="s" s="146">
        <v>264</v>
      </c>
      <c r="B1" t="s" s="146">
        <v>265</v>
      </c>
      <c r="D1" s="171"/>
      <c r="E1" s="172"/>
      <c r="F1" s="173"/>
    </row>
    <row r="2" spans="1:19">
      <c r="A2" t="s" s="148">
        <v>266</v>
      </c>
      <c r="B2" s="149">
        <v>59939</v>
      </c>
      <c r="D2" s="150"/>
      <c r="E2" t="s" s="151">
        <v>66</v>
      </c>
      <c r="F2" t="s" s="152">
        <v>21</v>
      </c>
    </row>
    <row r="3" spans="1:19" ht="12.75" customHeight="1">
      <c r="A3" t="s" s="148">
        <v>267</v>
      </c>
      <c r="B3" s="149">
        <v>100509</v>
      </c>
      <c r="D3" t="s" s="150">
        <v>20</v>
      </c>
      <c r="E3" s="158">
        <v>81</v>
      </c>
      <c r="F3" s="153">
        <f>(E3/E7)*100</f>
      </c>
      <c r="G3" s="160"/>
    </row>
    <row r="4" spans="1:19" ht="13.5" customHeight="1">
      <c r="A4" t="s" s="148">
        <v>268</v>
      </c>
      <c r="B4" s="149">
        <v>114024</v>
      </c>
      <c r="D4" t="s" s="150">
        <v>18</v>
      </c>
      <c r="E4" s="154">
        <v>132338</v>
      </c>
      <c r="F4" s="153">
        <f>(E4/E7)*100</f>
      </c>
    </row>
    <row r="5" spans="1:19">
      <c r="A5" t="s" s="148">
        <v>438</v>
      </c>
      <c r="B5" s="149">
        <v>113905</v>
      </c>
      <c r="D5" t="s" s="150">
        <v>65</v>
      </c>
      <c r="E5" s="154">
        <v>126</v>
      </c>
      <c r="F5" s="153">
        <f>(E5/E7)*100</f>
      </c>
      <c r="Q5" s="155"/>
      <c r="R5" s="156"/>
      <c r="S5" s="157"/>
    </row>
    <row r="6" spans="1:19">
      <c r="A6" t="s" s="148">
        <v>467</v>
      </c>
      <c r="B6" s="149">
        <v>127069</v>
      </c>
      <c r="D6" t="s" s="150">
        <v>19</v>
      </c>
      <c r="E6" s="154">
        <v>16071</v>
      </c>
      <c r="F6" s="153">
        <f>(E6/E7)*100</f>
      </c>
      <c r="Q6" s="155"/>
      <c r="R6" s="156"/>
    </row>
    <row r="7" spans="1:19">
      <c r="A7" t="s" s="148">
        <v>519</v>
      </c>
      <c r="B7" s="149">
        <v>148616</v>
      </c>
      <c r="D7" t="s" s="150">
        <v>57</v>
      </c>
      <c r="E7" s="149">
        <f>SUM(E3:E6)</f>
      </c>
      <c r="F7" s="153">
        <f>SUM(F3:F6)</f>
      </c>
      <c r="Q7" s="155"/>
      <c r="R7" s="156"/>
    </row>
    <row r="8" spans="1:19">
      <c r="Q8" s="155"/>
      <c r="R8" s="156"/>
    </row>
    <row r="9" spans="1:19">
      <c r="Q9" s="155"/>
      <c r="R9" s="156"/>
    </row>
    <row r="10" spans="1:19">
      <c r="Q10" s="155"/>
      <c r="R10" s="156"/>
    </row>
    <row r="11" spans="1:19">
      <c r="Q11" s="155"/>
      <c r="R11" s="156"/>
    </row>
    <row r="12" spans="1:19">
      <c r="Q12" s="155"/>
      <c r="R12" s="156"/>
    </row>
    <row r="13" spans="1:19">
      <c r="Q13" s="155"/>
      <c r="R13" s="156"/>
    </row>
    <row r="14" spans="1:19">
      <c r="B14" s="163">
        <f>"Total Requests:  " &amp; E7 &amp; " NOS."</f>
      </c>
      <c r="C14" s="166"/>
      <c r="Q14" s="155"/>
      <c r="R14" s="156"/>
    </row>
    <row r="15" spans="1:19">
      <c r="B15" t="s" s="170">
        <v>263</v>
      </c>
      <c r="C15" s="167"/>
      <c r="Q15" s="155"/>
      <c r="R15" s="156"/>
    </row>
    <row r="16" spans="1:19">
      <c r="B16" s="165">
        <f>D4&amp;" : " &amp; E4 &amp; " (" &amp; TEXT(F4, "0.00") &amp; "%)"</f>
      </c>
      <c r="C16" s="164">
        <f>D3&amp;" " &amp; E3 &amp; " (" &amp; TEXT(F3, "0.00") &amp; "%)"</f>
      </c>
      <c r="Q16" s="155"/>
      <c r="R16" s="156"/>
    </row>
    <row r="17" spans="2:18">
      <c r="B17" s="168"/>
      <c r="C17" s="169"/>
      <c r="Q17" s="155"/>
      <c r="R17" s="156"/>
    </row>
    <row r="18" spans="2:18">
      <c r="B18" s="162">
        <f>D5&amp;" : " &amp; E5 &amp; " (" &amp; TEXT(F5, "0.00") &amp; "%)"</f>
      </c>
      <c r="C18" s="161">
        <f>D6&amp;": " &amp; E6 &amp; " (" &amp; TEXT(F6, "0.00") &amp; "%)"</f>
      </c>
      <c r="Q18" s="155"/>
      <c r="R18" s="156"/>
    </row>
    <row r="19" spans="2:18">
      <c r="Q19" s="155"/>
      <c r="R19" s="156"/>
    </row>
    <row r="20" spans="2:18">
      <c r="I20" s="159"/>
      <c r="Q20" s="155"/>
      <c r="R20" s="156"/>
    </row>
    <row r="21" spans="2:18">
      <c r="Q21" s="155"/>
      <c r="R21" s="156"/>
    </row>
    <row r="22" spans="2:18">
      <c r="Q22" s="155"/>
      <c r="R22" s="156"/>
    </row>
    <row r="23" spans="2:18">
      <c r="Q23" s="155"/>
      <c r="R23" s="156"/>
    </row>
    <row r="24" spans="2:18">
      <c r="Q24" s="155"/>
      <c r="R24" s="156"/>
    </row>
    <row r="25" spans="2:18">
      <c r="K25" s="158"/>
      <c r="Q25" s="155"/>
      <c r="R25" s="158"/>
    </row>
    <row r="26" spans="2:18">
      <c r="K26" s="158"/>
      <c r="Q26" s="155"/>
      <c r="R26" s="156"/>
    </row>
    <row r="27" spans="2:18">
      <c r="K27" s="158"/>
      <c r="Q27" s="155"/>
      <c r="R27" s="156"/>
    </row>
    <row r="28" spans="2:18">
      <c r="K28" s="158"/>
      <c r="Q28" s="155"/>
      <c r="R28" s="156"/>
    </row>
    <row r="29" spans="2:18">
      <c r="K29" s="158"/>
      <c r="Q29" s="155"/>
      <c r="R29" s="156"/>
    </row>
    <row r="30" spans="2:18">
      <c r="K30" s="158"/>
      <c r="Q30" s="155"/>
      <c r="R30" s="156"/>
    </row>
    <row r="31" spans="2:18">
      <c r="K31" s="157"/>
      <c r="Q31" s="155"/>
      <c r="R31" s="156"/>
    </row>
    <row r="32" spans="2:18">
      <c r="H32" s="157"/>
      <c r="K32" s="157"/>
      <c r="Q32" s="155"/>
      <c r="R32" s="156"/>
    </row>
    <row r="33" spans="8:32">
      <c r="H33" s="157"/>
      <c r="K33" s="157"/>
      <c r="Q33" s="155"/>
    </row>
    <row r="34" spans="8:32">
      <c r="H34" s="157"/>
      <c r="K34" s="157"/>
      <c r="Q34" s="155"/>
    </row>
    <row r="35" spans="8:32">
      <c r="H35" s="157"/>
      <c r="K35" s="157"/>
      <c r="Q35" s="155"/>
      <c r="S35" s="147"/>
      <c r="V35" s="145"/>
    </row>
    <row r="36" spans="8:32">
      <c r="K36" s="157"/>
      <c r="Q36" s="155"/>
      <c r="S36" s="147"/>
      <c r="V36" s="145"/>
    </row>
    <row r="37" spans="8:32">
      <c r="H37" s="157"/>
      <c r="K37" s="157"/>
      <c r="Q37" s="155"/>
      <c r="S37" s="147"/>
      <c r="V37" s="145"/>
    </row>
    <row r="38" spans="8:32">
      <c r="H38" s="157"/>
      <c r="K38" s="157"/>
      <c r="Q38" s="155"/>
      <c r="R38" s="156"/>
      <c r="S38" s="147"/>
      <c r="V38" s="145"/>
    </row>
    <row r="39" spans="8:32">
      <c r="H39" s="157"/>
      <c r="K39" s="157"/>
      <c r="Q39" s="155"/>
      <c r="S39" s="147"/>
      <c r="V39" s="145"/>
    </row>
    <row r="40" spans="8:32">
      <c r="H40" s="157"/>
      <c r="K40" s="157"/>
      <c r="Q40" s="155"/>
      <c r="S40" s="147"/>
      <c r="V40" s="145"/>
    </row>
    <row r="41" spans="8:32">
      <c r="H41" s="157"/>
      <c r="K41" s="157"/>
      <c r="Q41" s="157"/>
      <c r="AF41" s="150"/>
    </row>
    <row r="42" spans="8:32">
      <c r="H42" s="157"/>
      <c r="K42" s="157"/>
      <c r="P42" s="157"/>
      <c r="Q42" s="157"/>
      <c r="S42" s="573"/>
      <c r="AF42" s="150"/>
    </row>
    <row r="43" spans="8:32">
      <c r="H43" s="157"/>
      <c r="K43" s="157"/>
      <c r="P43" s="157"/>
      <c r="Q43" s="157"/>
      <c r="S43" s="573"/>
      <c r="AF43" s="150"/>
    </row>
    <row r="44" spans="8:32">
      <c r="H44" s="157"/>
      <c r="K44" s="157"/>
      <c r="N44" s="573"/>
      <c r="P44" s="157"/>
      <c r="Q44" s="157"/>
      <c r="S44" s="573"/>
    </row>
    <row r="45" spans="8:32">
      <c r="H45" s="157"/>
      <c r="K45" s="157"/>
      <c r="N45" s="573"/>
      <c r="P45" s="157"/>
      <c r="Q45" s="157"/>
      <c r="S45" s="573"/>
    </row>
    <row r="46" spans="8:32">
      <c r="H46" s="157"/>
      <c r="K46" s="157"/>
      <c r="N46" s="573"/>
      <c r="P46" s="157"/>
      <c r="Q46" s="157"/>
      <c r="R46" s="158"/>
      <c r="S46" s="573"/>
    </row>
    <row r="47" spans="8:32">
      <c r="H47" s="157"/>
      <c r="K47" s="157"/>
      <c r="N47" s="573"/>
      <c r="P47" s="157"/>
      <c r="Q47" s="157"/>
      <c r="S47" s="573"/>
    </row>
    <row r="48" spans="8:32">
      <c r="H48" s="157"/>
      <c r="K48" s="157"/>
      <c r="P48" s="157"/>
      <c r="Q48" s="157"/>
      <c r="S48" s="573"/>
    </row>
    <row r="49" spans="8:33">
      <c r="H49" s="157"/>
      <c r="K49" s="157"/>
      <c r="N49" s="573"/>
      <c r="P49" s="157"/>
      <c r="Q49" s="157"/>
      <c r="S49" s="573"/>
    </row>
    <row r="50" spans="8:33">
      <c r="H50" s="157"/>
      <c r="K50" s="157"/>
      <c r="N50" s="573"/>
      <c r="P50" s="157"/>
      <c r="Q50" s="157"/>
      <c r="S50" s="573"/>
    </row>
    <row r="51" spans="8:33">
      <c r="H51" s="157"/>
      <c r="K51" s="157"/>
      <c r="N51" s="573"/>
      <c r="P51" s="157"/>
      <c r="S51" s="573"/>
    </row>
    <row r="52" spans="8:33">
      <c r="H52" s="157"/>
      <c r="K52" s="157"/>
      <c r="N52" s="573"/>
      <c r="P52" s="157"/>
      <c r="S52" s="573"/>
    </row>
    <row r="53" spans="8:33">
      <c r="H53" s="157"/>
      <c r="K53" s="157"/>
      <c r="P53" s="157"/>
      <c r="S53" s="573"/>
    </row>
    <row r="54" spans="8:33">
      <c r="H54" s="157"/>
      <c r="K54" s="157"/>
      <c r="N54" s="573"/>
      <c r="P54" s="157"/>
      <c r="S54" s="573"/>
      <c r="AC54" s="147"/>
      <c r="AD54" s="147"/>
      <c r="AG54" s="147"/>
    </row>
    <row r="55" spans="8:33">
      <c r="H55" s="157"/>
      <c r="K55" s="157"/>
      <c r="N55" s="573"/>
      <c r="P55" s="157"/>
      <c r="S55" s="573"/>
      <c r="AC55" s="147"/>
      <c r="AD55" s="147"/>
      <c r="AG55" s="147"/>
    </row>
    <row r="56" spans="8:33">
      <c r="H56" s="157"/>
      <c r="K56" s="157"/>
      <c r="N56" s="573"/>
      <c r="P56" s="157"/>
      <c r="S56" s="573"/>
      <c r="AC56" s="147"/>
      <c r="AD56" s="147"/>
      <c r="AG56" s="147"/>
    </row>
    <row r="57" spans="8:33">
      <c r="H57" s="157"/>
      <c r="K57" s="157"/>
      <c r="N57" s="573"/>
      <c r="P57" s="157"/>
      <c r="S57" s="573"/>
      <c r="AC57" s="147"/>
      <c r="AD57" s="147"/>
      <c r="AG57" s="147"/>
    </row>
    <row r="58" spans="8:33">
      <c r="H58" s="157"/>
      <c r="K58" s="157"/>
      <c r="P58" s="157"/>
      <c r="S58" s="573"/>
      <c r="AC58" s="147"/>
      <c r="AD58" s="147"/>
      <c r="AG58" s="147"/>
    </row>
    <row r="59" spans="8:33">
      <c r="H59" s="157"/>
      <c r="K59" s="157"/>
      <c r="N59" s="573"/>
      <c r="P59" s="157"/>
      <c r="S59" s="573"/>
    </row>
    <row r="60" spans="8:33">
      <c r="H60" s="157"/>
      <c r="K60" s="157"/>
      <c r="N60" s="573"/>
      <c r="P60" s="157"/>
      <c r="S60" s="573"/>
    </row>
    <row r="61" spans="8:33">
      <c r="K61" s="157"/>
      <c r="N61" s="573"/>
      <c r="P61" s="157"/>
      <c r="S61" s="573"/>
    </row>
    <row r="62" spans="8:33">
      <c r="K62" s="157"/>
      <c r="N62" s="573"/>
      <c r="P62" s="157"/>
      <c r="S62" s="573"/>
    </row>
    <row r="63" spans="8:33">
      <c r="K63" s="157"/>
      <c r="P63" s="157"/>
      <c r="S63" s="573"/>
    </row>
    <row r="64" spans="8:33">
      <c r="K64" s="157"/>
      <c r="N64" s="573"/>
      <c r="P64" s="157"/>
      <c r="S64" s="573"/>
    </row>
    <row r="65" spans="11:34">
      <c r="K65" s="157"/>
      <c r="N65" s="573"/>
      <c r="P65" s="157"/>
      <c r="S65" s="573"/>
    </row>
    <row r="66" spans="11:34">
      <c r="K66" s="157"/>
      <c r="N66" s="573"/>
    </row>
    <row r="67" spans="11:34">
      <c r="K67" s="157"/>
      <c r="N67" s="573"/>
    </row>
    <row r="68" spans="11:34">
      <c r="K68" s="157"/>
    </row>
    <row r="69" spans="11:34">
      <c r="K69" s="157"/>
      <c r="N69" s="573"/>
    </row>
    <row r="70" spans="11:34">
      <c r="K70" s="157"/>
      <c r="N70" s="573"/>
    </row>
    <row r="71" spans="11:34">
      <c r="K71" s="157"/>
      <c r="N71" s="573"/>
    </row>
    <row r="72" spans="11:34">
      <c r="K72" s="157"/>
      <c r="N72" s="573"/>
    </row>
    <row r="73" spans="11:34">
      <c r="AA73" s="571"/>
      <c r="AB73" s="571"/>
      <c r="AF73" s="572"/>
      <c r="AG73" s="572"/>
    </row>
    <row r="74" spans="11:34">
      <c r="AC74" s="147"/>
      <c r="AH74" s="147"/>
    </row>
    <row r="75" spans="11:34">
      <c r="AC75" s="147"/>
      <c r="AH75" s="147"/>
    </row>
    <row r="76" spans="11:34">
      <c r="AC76" s="147"/>
      <c r="AH76" s="147"/>
    </row>
    <row r="77" spans="11:34">
      <c r="AC77" s="147"/>
      <c r="AH77" s="147"/>
    </row>
    <row r="78" spans="11:34">
      <c r="AC78" s="147"/>
    </row>
    <row r="86" spans="27:29">
      <c r="AA86" s="572"/>
      <c r="AB86" s="572"/>
    </row>
    <row r="87" spans="27:29">
      <c r="AC87" s="147"/>
    </row>
    <row r="88" spans="27:29">
      <c r="AC88" s="147"/>
    </row>
    <row r="89" spans="27:29">
      <c r="AC89" s="147"/>
    </row>
    <row r="90" spans="27:29">
      <c r="AC90" s="147"/>
    </row>
  </sheetData>
  <mergeCells count="15">
    <mergeCell ref="AA73:AB73"/>
    <mergeCell ref="AF73:AG73"/>
    <mergeCell ref="AA86:AB86"/>
    <mergeCell ref="N44:N47"/>
    <mergeCell ref="N49:N52"/>
    <mergeCell ref="N54:N57"/>
    <mergeCell ref="N59:N62"/>
    <mergeCell ref="N64:N67"/>
    <mergeCell ref="N69:N72"/>
    <mergeCell ref="S42:S45"/>
    <mergeCell ref="S46:S49"/>
    <mergeCell ref="S50:S53"/>
    <mergeCell ref="S54:S57"/>
    <mergeCell ref="S58:S61"/>
    <mergeCell ref="S62:S65"/>
  </mergeCells>
  <pageMargins left="0.7" right="0.7" top="0.75" bottom="0.75" header="0.3" footer="0.3"/>
  <pageSetup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5776B-A65D-4C4B-84F3-9D7AD7A1D8AC}">
  <sheetPr/>
  <sheetViews>
    <sheetView topLeftCell="A16" workbookViewId="0">
      <selection activeCell="A24" sqref="A24"/>
    </sheetView>
  </sheetViews>
  <sheetFormatPr defaultRowHeight="12.75"/>
  <cols>
    <col min="1" max="1" width="40.85546875" customWidth="1"/>
    <col min="2" max="2" width="30.7109375" style="38" customWidth="1"/>
    <col min="3" max="3" width="26.85546875" customWidth="1"/>
    <col min="4" max="4" width="26.42578125" style="86" customWidth="1"/>
    <col min="5" max="5" width="31.5703125" style="86" bestFit="1" customWidth="1"/>
    <col min="10" max="10" width="9.140625" style="2"/>
    <col min="13" max="13" width="53.140625" customWidth="1"/>
    <col min="14" max="14" width="37.28515625" customWidth="1"/>
    <col min="29" max="29" width="29.85546875" customWidth="1"/>
    <col min="30" max="30" width="15.42578125" customWidth="1"/>
    <col min="31" max="31" width="18.140625" customWidth="1"/>
  </cols>
  <sheetData>
    <row r="1" spans="1:10">
      <c r="A1" t="s" s="176">
        <v>172</v>
      </c>
      <c r="B1" t="s" s="176">
        <v>269</v>
      </c>
      <c r="C1" t="s" s="176">
        <v>248</v>
      </c>
      <c r="D1" t="s" s="176">
        <v>270</v>
      </c>
      <c r="E1" t="s" s="176">
        <v>271</v>
      </c>
    </row>
    <row r="2" spans="1:10" ht="20.25">
      <c r="A2" t="s" s="178">
        <v>180</v>
      </c>
      <c r="B2" s="360">
        <v>85543</v>
      </c>
      <c r="C2" t="s" s="359">
        <v>420</v>
      </c>
      <c r="D2" s="577">
        <v>112849</v>
      </c>
      <c r="E2" s="574">
        <v>267924</v>
      </c>
    </row>
    <row r="3" spans="1:10" ht="20.25">
      <c r="A3" t="s" s="178">
        <v>184</v>
      </c>
      <c r="B3" s="360">
        <v>56019</v>
      </c>
      <c r="C3" s="359">
        <v>3411</v>
      </c>
      <c r="D3" s="577"/>
      <c r="E3" s="575"/>
    </row>
    <row r="4" spans="1:10" ht="20.25">
      <c r="A4" t="s" s="178">
        <v>174</v>
      </c>
      <c r="B4" s="360">
        <v>26760</v>
      </c>
      <c r="C4" t="s" s="359">
        <v>420</v>
      </c>
      <c r="D4" s="577"/>
      <c r="E4" s="575"/>
    </row>
    <row r="5" spans="1:10" ht="20.25">
      <c r="A5" t="s" s="178">
        <v>176</v>
      </c>
      <c r="B5" s="360">
        <v>25664</v>
      </c>
      <c r="C5" s="359">
        <v>6050</v>
      </c>
      <c r="D5" s="577"/>
      <c r="E5" s="575"/>
    </row>
    <row r="6" spans="1:10" ht="20.25">
      <c r="A6" t="s" s="179">
        <v>193</v>
      </c>
      <c r="B6" s="360">
        <v>17783</v>
      </c>
      <c r="C6" t="s" s="359">
        <v>420</v>
      </c>
      <c r="D6" s="577"/>
      <c r="E6" s="575"/>
      <c r="H6" s="109"/>
      <c r="J6" s="174"/>
    </row>
    <row r="7" spans="1:10" ht="20.25">
      <c r="A7" t="s" s="178">
        <v>244</v>
      </c>
      <c r="B7" s="360">
        <v>14915</v>
      </c>
      <c r="C7" t="s" s="359">
        <v>420</v>
      </c>
      <c r="D7" s="577"/>
      <c r="E7" s="575"/>
      <c r="J7"/>
    </row>
    <row r="8" spans="1:10" ht="20.25">
      <c r="A8" t="s" s="179">
        <v>195</v>
      </c>
      <c r="B8" s="360">
        <v>14673</v>
      </c>
      <c r="C8" t="s" s="359">
        <v>420</v>
      </c>
      <c r="D8" s="577"/>
      <c r="E8" s="575"/>
      <c r="H8" s="2"/>
    </row>
    <row r="9" spans="1:10" ht="20.25">
      <c r="A9" t="s" s="179">
        <v>191</v>
      </c>
      <c r="B9" s="360">
        <v>13433</v>
      </c>
      <c r="C9" s="359">
        <v>8677</v>
      </c>
      <c r="D9" s="577"/>
      <c r="E9" s="575"/>
    </row>
    <row r="10" spans="1:10" ht="20.25">
      <c r="A10" t="s" s="179">
        <v>178</v>
      </c>
      <c r="B10" s="360">
        <v>10007</v>
      </c>
      <c r="C10" s="359">
        <v>3599</v>
      </c>
      <c r="D10" s="577"/>
      <c r="E10" s="575"/>
    </row>
    <row r="11" spans="1:10" ht="20.25">
      <c r="A11" t="s" s="178">
        <v>187</v>
      </c>
      <c r="B11" s="360">
        <v>4072</v>
      </c>
      <c r="C11" s="359">
        <v>17612</v>
      </c>
      <c r="D11" s="577"/>
      <c r="E11" s="575"/>
    </row>
    <row r="12" spans="1:10" ht="20.25">
      <c r="A12" t="s" s="178">
        <v>182</v>
      </c>
      <c r="B12" s="360">
        <v>3789</v>
      </c>
      <c r="C12" s="359">
        <v>7584</v>
      </c>
      <c r="D12" s="577"/>
      <c r="E12" s="575"/>
    </row>
    <row r="13" spans="1:10" ht="20.25">
      <c r="A13" t="s" s="178">
        <v>189</v>
      </c>
      <c r="B13" s="360">
        <v>2519</v>
      </c>
      <c r="C13" s="359">
        <v>7185</v>
      </c>
      <c r="D13" s="577"/>
      <c r="E13" s="576"/>
    </row>
    <row r="14" spans="1:10">
      <c r="H14" s="132"/>
    </row>
    <row r="15" spans="1:10">
      <c r="H15" s="132"/>
    </row>
    <row r="16" spans="1:10">
      <c r="H16" s="132"/>
    </row>
    <row r="17" spans="1:34">
      <c r="H17" s="132"/>
    </row>
    <row r="18" spans="1:34">
      <c r="H18" s="132"/>
    </row>
    <row r="19" spans="1:34">
      <c r="F19" s="1"/>
      <c r="H19" s="132"/>
    </row>
    <row r="20" spans="1:34">
      <c r="H20" s="132"/>
      <c r="R20" s="175"/>
      <c r="AH20" s="175"/>
    </row>
    <row r="21" spans="1:34">
      <c r="M21" s="12"/>
      <c r="R21" s="175"/>
    </row>
    <row r="24" spans="1:34">
      <c r="A24" t="s" s="12">
        <v>251</v>
      </c>
    </row>
    <row r="27" spans="1:34">
      <c r="A27" t="s" s="102">
        <v>172</v>
      </c>
      <c r="B27" t="s" s="103">
        <v>196</v>
      </c>
      <c r="C27" t="s" s="578">
        <v>248</v>
      </c>
      <c r="D27" s="579"/>
    </row>
    <row r="28" spans="1:34">
      <c r="A28" t="s" s="104">
        <v>173</v>
      </c>
      <c r="B28" t="s" s="104">
        <v>174</v>
      </c>
      <c r="C28" t="s" s="580">
        <v>247</v>
      </c>
      <c r="D28" s="101"/>
    </row>
    <row r="29" spans="1:34" ht="22.5">
      <c r="A29" t="s" s="104">
        <v>175</v>
      </c>
      <c r="B29" t="s" s="104">
        <v>176</v>
      </c>
      <c r="C29" s="581"/>
      <c r="D29" t="s" s="101">
        <v>175</v>
      </c>
    </row>
    <row r="30" spans="1:34">
      <c r="A30" t="s" s="104">
        <v>177</v>
      </c>
      <c r="B30" t="s" s="104">
        <v>178</v>
      </c>
      <c r="C30" s="581"/>
      <c r="D30" t="s" s="101">
        <v>272</v>
      </c>
    </row>
    <row r="31" spans="1:34" ht="22.5">
      <c r="A31" t="s" s="104">
        <v>179</v>
      </c>
      <c r="B31" t="s" s="104">
        <v>180</v>
      </c>
      <c r="C31" s="581"/>
      <c r="D31" s="101"/>
    </row>
    <row r="32" spans="1:34">
      <c r="A32" t="s" s="104">
        <v>181</v>
      </c>
      <c r="B32" t="s" s="104">
        <v>182</v>
      </c>
      <c r="C32" s="581"/>
      <c r="D32" t="s" s="101">
        <v>181</v>
      </c>
    </row>
    <row r="33" spans="1:4">
      <c r="A33" t="s" s="104">
        <v>183</v>
      </c>
      <c r="B33" t="s" s="104">
        <v>184</v>
      </c>
      <c r="C33" s="581"/>
      <c r="D33" s="101"/>
    </row>
    <row r="34" spans="1:4">
      <c r="A34" t="s" s="104">
        <v>185</v>
      </c>
      <c r="B34" t="s" s="104">
        <v>244</v>
      </c>
      <c r="C34" s="581"/>
      <c r="D34" s="101"/>
    </row>
    <row r="35" spans="1:4">
      <c r="A35" t="s" s="104">
        <v>186</v>
      </c>
      <c r="B35" t="s" s="104">
        <v>187</v>
      </c>
      <c r="C35" s="581"/>
      <c r="D35" t="s" s="101">
        <v>246</v>
      </c>
    </row>
    <row r="36" spans="1:4">
      <c r="A36" t="s" s="104">
        <v>188</v>
      </c>
      <c r="B36" t="s" s="104">
        <v>189</v>
      </c>
      <c r="C36" s="581"/>
      <c r="D36" t="s" s="105">
        <v>245</v>
      </c>
    </row>
    <row r="37" spans="1:4">
      <c r="A37" t="s" s="104">
        <v>190</v>
      </c>
      <c r="B37" t="s" s="104">
        <v>191</v>
      </c>
      <c r="C37" s="581"/>
      <c r="D37" t="s" s="106">
        <v>190</v>
      </c>
    </row>
    <row r="38" spans="1:4">
      <c r="A38" t="s" s="104">
        <v>192</v>
      </c>
      <c r="B38" t="s" s="104">
        <v>193</v>
      </c>
      <c r="C38" s="581"/>
      <c r="D38" s="101"/>
    </row>
    <row r="39" spans="1:4">
      <c r="A39" t="s" s="104">
        <v>194</v>
      </c>
      <c r="B39" t="s" s="104">
        <v>195</v>
      </c>
      <c r="C39" s="582"/>
      <c r="D39" s="101"/>
    </row>
  </sheetData>
  <mergeCells count="4">
    <mergeCell ref="E2:E13"/>
    <mergeCell ref="D2:D13"/>
    <mergeCell ref="C27:D27"/>
    <mergeCell ref="C28:C39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30E32-C319-434B-B4E8-091ECDE4E6D0}">
  <sheetPr/>
  <sheetViews>
    <sheetView topLeftCell="A4" workbookViewId="0">
      <selection activeCell="A21" sqref="A21:D30"/>
    </sheetView>
  </sheetViews>
  <sheetFormatPr defaultRowHeight="12.75"/>
  <cols>
    <col min="1" max="1" width="38.7109375" customWidth="1"/>
    <col min="2" max="2" width="11.85546875" bestFit="1" customWidth="1"/>
    <col min="3" max="3" width="13.7109375" customWidth="1"/>
    <col min="4" max="4" width="14.140625" bestFit="1" customWidth="1"/>
  </cols>
  <sheetData>
    <row r="1" spans="1:8">
      <c r="A1" t="s" s="183">
        <v>273</v>
      </c>
      <c r="B1" t="s" s="183">
        <v>64</v>
      </c>
      <c r="C1" t="s" s="183">
        <v>1</v>
      </c>
      <c r="D1" t="s" s="183">
        <v>274</v>
      </c>
      <c r="E1" s="184"/>
      <c r="F1" s="184"/>
      <c r="G1" s="184"/>
      <c r="H1" s="184"/>
    </row>
    <row r="2" spans="1:8" ht="18">
      <c r="A2" t="s" s="279">
        <v>421</v>
      </c>
      <c r="B2" s="215">
        <v>135347</v>
      </c>
      <c r="C2" s="215">
        <v>155657</v>
      </c>
      <c r="D2" t="s" s="215">
        <v>548</v>
      </c>
      <c r="E2" s="184"/>
      <c r="F2" s="184"/>
      <c r="G2" s="184"/>
      <c r="H2" s="184"/>
    </row>
    <row r="3" spans="1:8" ht="18">
      <c r="A3" t="s" s="279">
        <v>424</v>
      </c>
      <c r="B3" s="215">
        <v>30628</v>
      </c>
      <c r="C3" s="215">
        <v>38356</v>
      </c>
      <c r="D3" t="s" s="215">
        <v>549</v>
      </c>
      <c r="E3" s="184"/>
      <c r="F3" s="184"/>
      <c r="G3" s="184"/>
      <c r="H3" s="184"/>
    </row>
    <row r="4" spans="1:8" ht="18">
      <c r="A4" t="s" s="279">
        <v>422</v>
      </c>
      <c r="B4" s="215">
        <v>25714</v>
      </c>
      <c r="C4" s="215">
        <v>30878</v>
      </c>
      <c r="D4" t="s" s="215">
        <v>550</v>
      </c>
      <c r="E4" s="184"/>
      <c r="F4" s="184"/>
      <c r="G4" s="184"/>
      <c r="H4" s="184"/>
    </row>
    <row r="5" spans="1:8" ht="18">
      <c r="A5" t="s" s="279">
        <v>426</v>
      </c>
      <c r="B5" s="215">
        <v>25232</v>
      </c>
      <c r="C5" s="215">
        <v>30125</v>
      </c>
      <c r="D5" t="s" s="215">
        <v>551</v>
      </c>
      <c r="E5" s="184"/>
      <c r="F5" s="184"/>
      <c r="G5" s="184"/>
      <c r="H5" s="184"/>
    </row>
    <row r="6" spans="1:8" ht="18">
      <c r="A6" t="s" s="279">
        <v>430</v>
      </c>
      <c r="B6" s="215">
        <v>18845</v>
      </c>
      <c r="C6" s="215">
        <v>23574</v>
      </c>
      <c r="D6" t="s" s="215">
        <v>552</v>
      </c>
      <c r="E6" s="184"/>
      <c r="F6" s="184"/>
      <c r="G6" s="184"/>
      <c r="H6" s="184"/>
    </row>
    <row r="7" spans="1:8" ht="18">
      <c r="A7" t="s" s="279">
        <v>431</v>
      </c>
      <c r="B7" s="215">
        <v>18365</v>
      </c>
      <c r="C7" s="215">
        <v>21777</v>
      </c>
      <c r="D7" t="s" s="215">
        <v>553</v>
      </c>
      <c r="E7" s="184"/>
      <c r="F7" s="184"/>
      <c r="G7" s="184"/>
      <c r="H7" s="184"/>
    </row>
    <row r="8" spans="1:8" ht="18">
      <c r="A8" t="s" s="279">
        <v>427</v>
      </c>
      <c r="B8" s="215">
        <v>17828</v>
      </c>
      <c r="C8" s="215">
        <v>23742</v>
      </c>
      <c r="D8" t="s" s="215">
        <v>554</v>
      </c>
      <c r="E8" s="184"/>
      <c r="F8" s="184"/>
      <c r="G8" s="184"/>
      <c r="H8" s="184"/>
    </row>
    <row r="9" spans="1:8" ht="18">
      <c r="A9" t="s" s="279">
        <v>429</v>
      </c>
      <c r="B9" s="215">
        <v>12238</v>
      </c>
      <c r="C9" s="215">
        <v>15565</v>
      </c>
      <c r="D9" t="s" s="215">
        <v>555</v>
      </c>
      <c r="E9" s="184"/>
      <c r="F9" s="184"/>
      <c r="G9" s="184"/>
      <c r="H9" s="184"/>
    </row>
    <row r="10" spans="1:8" ht="18">
      <c r="A10" t="s" s="279">
        <v>428</v>
      </c>
      <c r="B10" s="215">
        <v>11499</v>
      </c>
      <c r="C10" s="215">
        <v>13580</v>
      </c>
      <c r="D10" t="s" s="215">
        <v>556</v>
      </c>
      <c r="E10" s="184"/>
      <c r="F10" s="184"/>
      <c r="G10" s="184"/>
      <c r="H10" s="184"/>
    </row>
    <row r="11" spans="1:8" ht="18">
      <c r="A11" t="s" s="279">
        <v>432</v>
      </c>
      <c r="B11" s="215">
        <v>11040</v>
      </c>
      <c r="C11" s="215">
        <v>13368</v>
      </c>
      <c r="D11" t="s" s="215">
        <v>557</v>
      </c>
      <c r="E11" s="184"/>
      <c r="F11" s="184"/>
      <c r="G11" s="184"/>
      <c r="H11" s="184"/>
    </row>
    <row r="12" spans="1:8">
      <c r="A12" t="s" s="185">
        <v>423</v>
      </c>
      <c r="B12" s="177">
        <v>10259</v>
      </c>
      <c r="C12" s="177">
        <v>12114</v>
      </c>
      <c r="D12" t="s" s="177">
        <v>558</v>
      </c>
      <c r="E12" s="184"/>
      <c r="F12" s="184"/>
      <c r="G12" s="184"/>
      <c r="H12" s="184"/>
    </row>
    <row r="13" spans="1:8">
      <c r="A13" t="s" s="185">
        <v>425</v>
      </c>
      <c r="B13" s="177">
        <v>5304</v>
      </c>
      <c r="C13" s="177">
        <v>6576</v>
      </c>
      <c r="D13" t="s" s="177">
        <v>559</v>
      </c>
      <c r="E13" s="184"/>
      <c r="F13" s="184"/>
      <c r="G13" s="184"/>
      <c r="H13" s="184"/>
    </row>
    <row r="14" spans="1:8">
      <c r="A14" t="s" s="185">
        <v>433</v>
      </c>
      <c r="B14" s="177">
        <v>4619</v>
      </c>
      <c r="C14" s="177">
        <v>5727</v>
      </c>
      <c r="D14" t="s" s="177">
        <v>560</v>
      </c>
      <c r="E14" s="184"/>
      <c r="F14" s="184"/>
      <c r="G14" s="184"/>
      <c r="H14" s="184"/>
    </row>
    <row r="15" spans="1:8">
      <c r="A15" t="s" s="185">
        <v>470</v>
      </c>
      <c r="B15" s="177">
        <v>5</v>
      </c>
      <c r="C15" s="177">
        <v>10</v>
      </c>
      <c r="D15" t="s" s="177">
        <v>561</v>
      </c>
      <c r="E15" s="184"/>
      <c r="F15" s="184"/>
      <c r="G15" s="184"/>
      <c r="H15" s="184"/>
    </row>
    <row r="16" spans="1:8">
      <c r="A16" t="s" s="185">
        <v>562</v>
      </c>
      <c r="B16" s="177">
        <v>4</v>
      </c>
      <c r="C16" s="177">
        <v>6</v>
      </c>
      <c r="D16" t="s" s="177">
        <v>563</v>
      </c>
      <c r="E16" s="184"/>
      <c r="F16" s="184"/>
      <c r="G16" s="184"/>
      <c r="H16" s="184"/>
    </row>
    <row r="17" spans="1:8">
      <c r="A17" s="184"/>
      <c r="B17" s="181"/>
      <c r="C17" s="181"/>
      <c r="D17" s="181"/>
      <c r="E17" s="184"/>
      <c r="F17" s="184"/>
      <c r="G17" s="184"/>
      <c r="H17" s="184"/>
    </row>
    <row r="18" spans="1:8">
      <c r="A18" s="184"/>
      <c r="B18" s="184"/>
      <c r="C18" s="184"/>
      <c r="D18" s="184"/>
      <c r="E18" s="184"/>
      <c r="F18" s="184"/>
      <c r="G18" s="184"/>
      <c r="H18" s="184"/>
    </row>
    <row r="19" spans="1:8">
      <c r="A19" s="184"/>
      <c r="B19" s="184"/>
      <c r="C19" s="184"/>
      <c r="D19" s="184"/>
      <c r="E19" s="184"/>
      <c r="F19" s="184"/>
      <c r="G19" s="184"/>
      <c r="H19" s="184"/>
    </row>
    <row r="20" spans="1:8">
      <c r="A20" t="s" s="183">
        <v>273</v>
      </c>
      <c r="B20" t="s" s="183">
        <v>64</v>
      </c>
      <c r="C20" t="s" s="183">
        <v>1</v>
      </c>
      <c r="D20" t="s" s="183">
        <v>274</v>
      </c>
      <c r="E20" s="184"/>
      <c r="F20" s="184"/>
      <c r="G20" s="184"/>
      <c r="H20" s="184"/>
    </row>
    <row r="21" spans="1:8">
      <c r="A21" t="s" s="361">
        <v>421</v>
      </c>
      <c r="B21" s="358">
        <v>504414</v>
      </c>
      <c r="C21" s="151">
        <v>631636</v>
      </c>
      <c r="D21" t="s" s="358">
        <v>564</v>
      </c>
      <c r="E21" s="184"/>
      <c r="F21" s="184"/>
      <c r="G21" s="184"/>
      <c r="H21" s="184"/>
    </row>
    <row r="22" spans="1:8">
      <c r="A22" t="s" s="361">
        <v>424</v>
      </c>
      <c r="B22" s="358">
        <v>235710</v>
      </c>
      <c r="C22" s="151">
        <v>292095</v>
      </c>
      <c r="D22" t="s" s="358">
        <v>471</v>
      </c>
      <c r="E22" s="184"/>
      <c r="F22" s="184"/>
      <c r="G22" s="184"/>
      <c r="H22" s="184"/>
    </row>
    <row r="23" spans="1:8">
      <c r="A23" t="s" s="361">
        <v>431</v>
      </c>
      <c r="B23" s="358">
        <v>222893</v>
      </c>
      <c r="C23" s="358">
        <v>268207</v>
      </c>
      <c r="D23" t="s" s="358">
        <v>565</v>
      </c>
      <c r="E23" s="184"/>
      <c r="F23" s="184"/>
      <c r="G23" s="184"/>
      <c r="H23" s="184"/>
    </row>
    <row r="24" spans="1:8">
      <c r="A24" t="s" s="361">
        <v>422</v>
      </c>
      <c r="B24" s="358">
        <v>201948</v>
      </c>
      <c r="C24" s="358">
        <v>246225</v>
      </c>
      <c r="D24" t="s" s="358">
        <v>557</v>
      </c>
      <c r="E24" s="184"/>
      <c r="F24" s="184"/>
      <c r="G24" s="184"/>
      <c r="H24" s="184"/>
    </row>
    <row r="25" spans="1:8">
      <c r="A25" t="s" s="361">
        <v>423</v>
      </c>
      <c r="B25" s="358">
        <v>186865</v>
      </c>
      <c r="C25" s="358">
        <v>217045</v>
      </c>
      <c r="D25" t="s" s="358">
        <v>566</v>
      </c>
      <c r="E25" s="184"/>
      <c r="F25" s="184"/>
      <c r="G25" s="184"/>
      <c r="H25" s="184"/>
    </row>
    <row r="26" spans="1:8">
      <c r="A26" t="s" s="361">
        <v>426</v>
      </c>
      <c r="B26" s="358">
        <v>186486</v>
      </c>
      <c r="C26" s="358">
        <v>230664</v>
      </c>
      <c r="D26" t="s" s="358">
        <v>567</v>
      </c>
      <c r="E26" s="184"/>
      <c r="F26" s="184"/>
      <c r="G26" s="184"/>
      <c r="H26" s="184"/>
    </row>
    <row r="27" spans="1:8">
      <c r="A27" t="s" s="361">
        <v>430</v>
      </c>
      <c r="B27" s="358">
        <v>150458</v>
      </c>
      <c r="C27" s="358">
        <v>179254</v>
      </c>
      <c r="D27" t="s" s="358">
        <v>568</v>
      </c>
      <c r="E27" s="184"/>
      <c r="F27" s="184"/>
      <c r="G27" s="184"/>
      <c r="H27" s="184"/>
    </row>
    <row r="28" spans="1:8">
      <c r="A28" t="s" s="361">
        <v>427</v>
      </c>
      <c r="B28" s="358">
        <v>130802</v>
      </c>
      <c r="C28" s="358">
        <v>176496</v>
      </c>
      <c r="D28" t="s" s="358">
        <v>569</v>
      </c>
      <c r="E28" s="184"/>
      <c r="F28" s="184"/>
      <c r="G28" s="184"/>
      <c r="H28" s="184"/>
    </row>
    <row r="29" spans="1:8">
      <c r="A29" t="s" s="361">
        <v>428</v>
      </c>
      <c r="B29" s="358">
        <v>107804</v>
      </c>
      <c r="C29" s="358">
        <v>130244</v>
      </c>
      <c r="D29" t="s" s="358">
        <v>442</v>
      </c>
      <c r="E29" s="184"/>
      <c r="F29" s="184"/>
      <c r="G29" s="184"/>
      <c r="H29" s="184"/>
    </row>
    <row r="30" spans="1:8">
      <c r="A30" t="s" s="361">
        <v>429</v>
      </c>
      <c r="B30" s="358">
        <v>105622</v>
      </c>
      <c r="C30" s="358">
        <v>133640</v>
      </c>
      <c r="D30" t="s" s="358">
        <v>570</v>
      </c>
      <c r="E30" s="184"/>
      <c r="F30" s="184"/>
      <c r="G30" s="184"/>
      <c r="H30" s="184"/>
    </row>
    <row r="31" spans="1:8">
      <c r="A31" t="s" s="361">
        <v>425</v>
      </c>
      <c r="B31" s="358">
        <v>85390</v>
      </c>
      <c r="C31" s="358">
        <v>97763</v>
      </c>
      <c r="D31" t="s" s="358">
        <v>571</v>
      </c>
      <c r="E31" s="184"/>
      <c r="F31" s="184"/>
      <c r="G31" s="184"/>
      <c r="H31" s="184"/>
    </row>
    <row r="32" spans="1:8">
      <c r="A32" t="s" s="361">
        <v>432</v>
      </c>
      <c r="B32" s="358">
        <v>66738</v>
      </c>
      <c r="C32" s="358">
        <v>83097</v>
      </c>
      <c r="D32" t="s" s="358">
        <v>572</v>
      </c>
      <c r="E32" s="184"/>
      <c r="F32" s="184"/>
      <c r="G32" s="184"/>
      <c r="H32" s="184"/>
    </row>
    <row r="33" spans="1:8">
      <c r="A33" t="s" s="361">
        <v>433</v>
      </c>
      <c r="B33" s="358">
        <v>40747</v>
      </c>
      <c r="C33" s="358">
        <v>53738</v>
      </c>
      <c r="D33" t="s" s="358">
        <v>573</v>
      </c>
      <c r="E33" s="184"/>
      <c r="F33" s="184"/>
      <c r="G33" s="184"/>
      <c r="H33" s="184"/>
    </row>
    <row r="34" spans="1:8">
      <c r="A34" t="s" s="150">
        <v>435</v>
      </c>
      <c r="B34" s="151">
        <v>495</v>
      </c>
      <c r="C34" s="151">
        <v>638</v>
      </c>
      <c r="D34" t="s" s="151">
        <v>574</v>
      </c>
    </row>
    <row r="35" spans="1:8">
      <c r="A35" t="s" s="150">
        <v>434</v>
      </c>
      <c r="B35" s="151">
        <v>126</v>
      </c>
      <c r="C35" s="151">
        <v>159</v>
      </c>
      <c r="D35" t="s" s="151">
        <v>472</v>
      </c>
    </row>
    <row r="36" spans="1:8">
      <c r="A36" s="145"/>
      <c r="B36" s="145"/>
      <c r="C36" s="145"/>
      <c r="D36" s="145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/>
  <sheetViews>
    <sheetView topLeftCell="A7" workbookViewId="0">
      <selection activeCell="C38" sqref="C38"/>
    </sheetView>
  </sheetViews>
  <sheetFormatPr defaultRowHeight="18"/>
  <cols>
    <col min="1" max="1" width="7.28515625" style="240" bestFit="1" customWidth="1"/>
    <col min="2" max="2" width="48.85546875" style="240" bestFit="1" customWidth="1"/>
    <col min="3" max="3" width="16.140625" style="240" bestFit="1" customWidth="1"/>
    <col min="4" max="4" width="16.140625" style="245" bestFit="1" customWidth="1"/>
    <col min="5" max="5" width="24" style="240" bestFit="1" customWidth="1"/>
    <col min="6" max="6" width="16.140625" style="240" bestFit="1" customWidth="1"/>
    <col min="7" max="7" width="12" style="240" bestFit="1" customWidth="1"/>
    <col min="8" max="10" width="9.140625" style="240"/>
    <col min="11" max="11" width="11" style="240" bestFit="1" customWidth="1"/>
    <col min="12" max="12" width="28.5703125" style="240" customWidth="1"/>
    <col min="13" max="13" width="11.140625" style="240" bestFit="1" customWidth="1"/>
    <col min="14" max="14" width="21.5703125" style="240" bestFit="1" customWidth="1"/>
    <col min="15" max="15" width="21.42578125" style="240" bestFit="1" customWidth="1"/>
    <col min="16" max="19" width="9.140625" style="240"/>
    <col min="20" max="20" width="21.42578125" style="240" bestFit="1" customWidth="1"/>
    <col min="21" max="21" width="48.85546875" style="240" bestFit="1" customWidth="1"/>
    <col min="22" max="22" width="12.28515625" style="240" bestFit="1" customWidth="1"/>
    <col min="23" max="23" width="16.140625" style="240" bestFit="1" customWidth="1"/>
    <col min="24" max="16384" width="9.140625" style="240"/>
  </cols>
  <sheetData>
    <row r="1" spans="1:23">
      <c r="B1" t="s" s="584">
        <v>166</v>
      </c>
      <c r="C1" s="584"/>
      <c r="D1" s="584"/>
      <c r="E1" s="584"/>
    </row>
    <row r="2" spans="1:23" ht="18.75" thickBot="1"/>
    <row r="3" spans="1:23">
      <c r="A3" t="s" s="236">
        <v>164</v>
      </c>
      <c r="B3" t="s" s="237">
        <v>163</v>
      </c>
      <c r="C3" t="s" s="237">
        <v>94</v>
      </c>
      <c r="D3" t="s" s="237">
        <v>162</v>
      </c>
      <c r="E3" t="s" s="237">
        <v>95</v>
      </c>
      <c r="F3" t="s" s="238">
        <v>162</v>
      </c>
    </row>
    <row r="4" spans="1:23">
      <c r="A4" s="239">
        <v>1</v>
      </c>
      <c r="B4" t="s" s="240">
        <v>92</v>
      </c>
      <c r="C4" s="261">
        <v>435656</v>
      </c>
      <c r="D4" s="262">
        <f>C4 /  $C$14</f>
      </c>
      <c r="E4" s="261">
        <v>302774</v>
      </c>
      <c r="F4" s="263">
        <f>E4 / $E$14</f>
      </c>
    </row>
    <row r="5" spans="1:23">
      <c r="A5" s="239">
        <v>2</v>
      </c>
      <c r="B5" t="s" s="240">
        <v>136</v>
      </c>
      <c r="C5" s="261">
        <v>434357</v>
      </c>
      <c r="D5" s="262">
        <f>C5 /  $C$14</f>
      </c>
      <c r="E5" s="261">
        <v>242167</v>
      </c>
      <c r="F5" s="263">
        <f t="shared" ref="F5:F11" si="0">E5 / $E$14</f>
      </c>
    </row>
    <row r="6" spans="1:23">
      <c r="A6" s="239">
        <v>3</v>
      </c>
      <c r="B6" t="s" s="240">
        <v>67</v>
      </c>
      <c r="C6" s="261">
        <v>431338</v>
      </c>
      <c r="D6" s="262">
        <f>C6 /  $C$14</f>
      </c>
      <c r="E6" s="261">
        <v>199590</v>
      </c>
      <c r="F6" s="263">
        <f>E6 / $E$14</f>
      </c>
    </row>
    <row r="7" spans="1:23">
      <c r="A7" s="239">
        <v>4</v>
      </c>
      <c r="B7" t="s" s="240">
        <v>141</v>
      </c>
      <c r="C7" s="261">
        <v>273093</v>
      </c>
      <c r="D7" s="262">
        <f>C7 /  $C$14</f>
      </c>
      <c r="E7" s="261">
        <v>152929</v>
      </c>
      <c r="F7" s="263">
        <f t="shared" si="0"/>
      </c>
    </row>
    <row r="8" spans="1:23">
      <c r="A8" s="239">
        <v>5</v>
      </c>
      <c r="B8" t="s" s="240">
        <v>523</v>
      </c>
      <c r="C8" s="261">
        <v>220319</v>
      </c>
      <c r="D8" s="262">
        <f>C8 /  $C$14</f>
      </c>
      <c r="E8" s="261">
        <v>148703</v>
      </c>
      <c r="F8" s="263">
        <f t="shared" si="0"/>
      </c>
    </row>
    <row r="9" spans="1:23">
      <c r="A9" s="239">
        <v>6</v>
      </c>
      <c r="B9" t="s" s="240">
        <v>69</v>
      </c>
      <c r="C9" s="261">
        <v>198608</v>
      </c>
      <c r="D9" s="262">
        <f t="shared" ref="D9:D13" si="1">C9 /  $C$14</f>
      </c>
      <c r="E9" s="261">
        <v>16518</v>
      </c>
      <c r="F9" s="263">
        <f t="shared" si="0"/>
      </c>
      <c r="U9" t="s" s="240">
        <v>67</v>
      </c>
      <c r="V9" s="240">
        <v>3641104</v>
      </c>
      <c r="W9" s="240">
        <v>2065856</v>
      </c>
    </row>
    <row r="10" spans="1:23">
      <c r="A10" s="239">
        <v>7</v>
      </c>
      <c r="B10" t="s" s="240">
        <v>135</v>
      </c>
      <c r="C10" s="261">
        <v>169366</v>
      </c>
      <c r="D10" s="262">
        <f t="shared" si="1"/>
      </c>
      <c r="E10" s="261">
        <v>76013</v>
      </c>
      <c r="F10" s="263">
        <f>E10 / $E$14</f>
      </c>
      <c r="U10" t="s" s="240">
        <v>70</v>
      </c>
      <c r="V10" s="240">
        <v>3627783</v>
      </c>
      <c r="W10" s="240">
        <v>2578524</v>
      </c>
    </row>
    <row r="11" spans="1:23">
      <c r="A11" s="239">
        <v>8</v>
      </c>
      <c r="B11" t="s" s="240">
        <v>68</v>
      </c>
      <c r="C11" s="261">
        <v>135563</v>
      </c>
      <c r="D11" s="262">
        <f t="shared" si="1"/>
      </c>
      <c r="E11" s="261">
        <v>42030</v>
      </c>
      <c r="F11" s="263">
        <f t="shared" si="0"/>
      </c>
      <c r="U11" t="s" s="240">
        <v>144</v>
      </c>
      <c r="V11" s="240">
        <v>3046568</v>
      </c>
      <c r="W11" s="240">
        <v>2061639</v>
      </c>
    </row>
    <row r="12" spans="1:23">
      <c r="A12" s="239">
        <v>9</v>
      </c>
      <c r="B12" t="s" s="240">
        <v>70</v>
      </c>
      <c r="C12" s="261">
        <v>116117</v>
      </c>
      <c r="D12" s="262">
        <f t="shared" si="1"/>
      </c>
      <c r="E12" s="261">
        <v>54567</v>
      </c>
      <c r="F12" s="263">
        <f>E12 / $E$14</f>
      </c>
      <c r="U12" t="s" s="240">
        <v>92</v>
      </c>
      <c r="V12" s="240">
        <v>2590701</v>
      </c>
      <c r="W12" s="240">
        <v>1196886</v>
      </c>
    </row>
    <row r="13" spans="1:23">
      <c r="A13" s="239">
        <v>10</v>
      </c>
      <c r="B13" t="s" s="240">
        <v>138</v>
      </c>
      <c r="C13" s="261">
        <v>104335</v>
      </c>
      <c r="D13" s="262">
        <f t="shared" si="1"/>
      </c>
      <c r="E13" s="261">
        <v>35774</v>
      </c>
      <c r="F13" s="263">
        <f>E13 / $E$14</f>
      </c>
      <c r="U13" t="s" s="240">
        <v>136</v>
      </c>
      <c r="V13" s="240">
        <v>1893051</v>
      </c>
      <c r="W13" s="240">
        <v>1142366</v>
      </c>
    </row>
    <row r="14" spans="1:23" ht="18.75" thickBot="1">
      <c r="A14" s="241"/>
      <c r="B14" s="242"/>
      <c r="C14" s="266">
        <v>3953609</v>
      </c>
      <c r="D14" s="243">
        <f>SUM(D4:D13)</f>
      </c>
      <c r="E14" s="244">
        <v>1673657</v>
      </c>
      <c r="F14" s="267">
        <f>SUM(F4:F13)</f>
      </c>
      <c r="U14" t="s" s="240">
        <v>68</v>
      </c>
      <c r="V14" s="240">
        <v>1560879</v>
      </c>
      <c r="W14" s="240">
        <v>981618</v>
      </c>
    </row>
    <row r="15" spans="1:23">
      <c r="C15" s="246"/>
      <c r="U15" t="s" s="240">
        <v>237</v>
      </c>
      <c r="V15" s="240">
        <v>1258673</v>
      </c>
      <c r="W15" s="240">
        <v>803479</v>
      </c>
    </row>
    <row r="16" spans="1:23" ht="18.75" thickBot="1">
      <c r="C16" s="247"/>
      <c r="U16" t="s" s="240">
        <v>135</v>
      </c>
      <c r="V16" s="240">
        <v>976564</v>
      </c>
      <c r="W16" s="240">
        <v>668485</v>
      </c>
    </row>
    <row r="17" spans="1:23" ht="12.75" customHeight="1">
      <c r="A17" s="585">
        <f>" - Top 10 sections constitute " &amp; TEXT(D14, "0.00%") &amp; " of Page views. (Total Page views – " &amp; TEXT(C14, "#,##0") &amp; ")" &amp; CHAR(10) &amp; " - " &amp; TEXT(F14, "0.00%") &amp; " of page views are unique Page views for top 10 sections."</f>
      </c>
      <c r="B17" t="s" s="586">
        <v>144</v>
      </c>
      <c r="C17" s="586">
        <v>92195</v>
      </c>
      <c r="D17" s="586"/>
      <c r="E17" s="586">
        <v>16446</v>
      </c>
      <c r="F17" s="587"/>
      <c r="G17" s="248"/>
      <c r="H17" s="248"/>
      <c r="I17" s="248"/>
      <c r="J17" s="248"/>
      <c r="U17" t="s" s="240">
        <v>69</v>
      </c>
      <c r="V17" s="240">
        <v>859398</v>
      </c>
      <c r="W17" s="240">
        <v>517912</v>
      </c>
    </row>
    <row r="18" spans="1:23" ht="12.75" customHeight="1">
      <c r="A18" s="588"/>
      <c r="B18" t="s" s="589">
        <v>237</v>
      </c>
      <c r="C18" s="589">
        <v>84553</v>
      </c>
      <c r="D18" s="589"/>
      <c r="E18" s="589">
        <v>72113</v>
      </c>
      <c r="F18" s="590"/>
      <c r="G18" s="248"/>
      <c r="H18" s="248"/>
      <c r="I18" s="248"/>
      <c r="J18" s="248"/>
      <c r="U18" t="s" s="240">
        <v>138</v>
      </c>
      <c r="V18" s="240">
        <v>822530</v>
      </c>
      <c r="W18" s="240">
        <v>564497</v>
      </c>
    </row>
    <row r="19" spans="1:23" ht="12.75" customHeight="1">
      <c r="A19" s="588"/>
      <c r="B19" s="589"/>
      <c r="C19" s="589"/>
      <c r="D19" s="589"/>
      <c r="E19" s="589"/>
      <c r="F19" s="590"/>
      <c r="G19" s="248"/>
      <c r="H19" s="248"/>
      <c r="I19" s="248"/>
      <c r="J19" s="248"/>
    </row>
    <row r="20" spans="1:23" ht="12.75" customHeight="1">
      <c r="A20" s="588"/>
      <c r="B20" s="589"/>
      <c r="C20" s="589"/>
      <c r="D20" s="589"/>
      <c r="E20" s="589"/>
      <c r="F20" s="590"/>
      <c r="G20" s="248"/>
      <c r="H20" s="248"/>
      <c r="I20" s="248"/>
      <c r="J20" s="248"/>
    </row>
    <row r="21" spans="1:23" ht="12.75" customHeight="1">
      <c r="A21" s="588"/>
      <c r="B21" s="589"/>
      <c r="C21" s="589"/>
      <c r="D21" s="589"/>
      <c r="E21" s="589"/>
      <c r="F21" s="590"/>
      <c r="G21" s="248"/>
      <c r="H21" s="248"/>
      <c r="I21" s="248"/>
      <c r="J21" s="248"/>
    </row>
    <row r="22" spans="1:23" ht="12.75" customHeight="1">
      <c r="A22" s="588"/>
      <c r="B22" s="589"/>
      <c r="C22" s="589"/>
      <c r="D22" s="589"/>
      <c r="E22" s="589"/>
      <c r="F22" s="590"/>
      <c r="G22" s="248"/>
      <c r="H22" s="248"/>
      <c r="I22" s="248"/>
      <c r="J22" s="248"/>
    </row>
    <row r="23" spans="1:23" ht="12.75" customHeight="1" thickBot="1">
      <c r="A23" s="591"/>
      <c r="B23" s="592"/>
      <c r="C23" s="592"/>
      <c r="D23" s="592"/>
      <c r="E23" s="592"/>
      <c r="F23" s="593"/>
      <c r="G23" s="248"/>
      <c r="H23" s="248"/>
      <c r="I23" s="248"/>
      <c r="J23" s="248"/>
    </row>
    <row r="24" spans="1:23" ht="12.75" customHeight="1">
      <c r="B24" s="249"/>
      <c r="C24" s="249"/>
      <c r="D24" s="249"/>
      <c r="E24" s="249"/>
      <c r="F24" s="249"/>
      <c r="G24" s="249"/>
      <c r="H24" s="249"/>
      <c r="I24" s="249"/>
      <c r="J24" s="249"/>
      <c r="K24" s="249"/>
      <c r="L24" s="249"/>
      <c r="M24" s="249"/>
    </row>
    <row r="25" spans="1:23">
      <c r="B25" t="s" s="583">
        <v>165</v>
      </c>
      <c r="C25" s="583"/>
      <c r="D25" s="583"/>
      <c r="E25" s="583"/>
      <c r="F25" s="249"/>
      <c r="J25" s="249"/>
      <c r="K25" s="249"/>
      <c r="L25" s="249"/>
      <c r="M25" s="249"/>
    </row>
    <row r="26" spans="1:23" ht="12.75" customHeight="1" thickBot="1">
      <c r="B26" s="249"/>
      <c r="C26" s="249"/>
      <c r="D26" s="249"/>
      <c r="E26" s="249"/>
      <c r="F26" s="249"/>
      <c r="J26" s="249"/>
      <c r="K26" s="249"/>
      <c r="L26" s="249"/>
      <c r="M26" s="249"/>
    </row>
    <row r="27" spans="1:23" ht="18.75" thickBot="1">
      <c r="A27" t="s" s="257">
        <v>164</v>
      </c>
      <c r="B27" t="s" s="257">
        <v>163</v>
      </c>
      <c r="C27" t="s" s="257">
        <v>94</v>
      </c>
      <c r="D27" t="s" s="257">
        <v>162</v>
      </c>
      <c r="E27" t="s" s="257">
        <v>95</v>
      </c>
      <c r="F27" t="s" s="257">
        <v>162</v>
      </c>
      <c r="J27" s="249"/>
      <c r="K27" s="249"/>
      <c r="L27" s="250"/>
      <c r="N27" s="249"/>
      <c r="T27" t="s" s="251">
        <v>146</v>
      </c>
      <c r="U27" s="252">
        <v>2542304</v>
      </c>
      <c r="V27" s="253">
        <v>48384</v>
      </c>
      <c r="W27" s="254">
        <f>SUM(U27:V27)</f>
      </c>
    </row>
    <row r="28" spans="1:23" ht="20.25" customHeight="1" thickBot="1">
      <c r="A28" s="221">
        <v>1</v>
      </c>
      <c r="B28" t="s" s="221">
        <v>67</v>
      </c>
      <c r="C28" s="215">
        <v>4354608</v>
      </c>
      <c r="D28" s="216">
        <f>C28/ $C$38</f>
      </c>
      <c r="E28" s="215">
        <v>2059610</v>
      </c>
      <c r="F28" s="216">
        <f t="shared" ref="F28:F37" si="2">E28 / $E$38</f>
      </c>
      <c r="J28" s="249"/>
      <c r="K28" s="249"/>
      <c r="L28" s="250"/>
      <c r="N28" s="249"/>
      <c r="T28" t="s" s="251">
        <v>152</v>
      </c>
      <c r="U28" s="252">
        <v>896824</v>
      </c>
      <c r="V28" s="253">
        <v>111688</v>
      </c>
      <c r="W28" s="254">
        <f t="shared" ref="W28:W38" si="3">SUM(U28:V28)</f>
      </c>
    </row>
    <row r="29" spans="1:23" ht="20.25" customHeight="1" thickBot="1">
      <c r="A29" s="221">
        <v>2</v>
      </c>
      <c r="B29" t="s" s="221">
        <v>141</v>
      </c>
      <c r="C29" s="215">
        <v>3515747</v>
      </c>
      <c r="D29" s="216">
        <f>C29/ $C$38</f>
      </c>
      <c r="E29" s="215">
        <v>2212061</v>
      </c>
      <c r="F29" s="216">
        <f t="shared" si="2"/>
      </c>
      <c r="J29" s="249"/>
      <c r="K29" s="249"/>
      <c r="L29" s="250"/>
      <c r="N29" s="249"/>
      <c r="T29" t="s" s="251">
        <v>238</v>
      </c>
      <c r="U29" s="252">
        <v>264833</v>
      </c>
      <c r="V29" s="253">
        <v>44444</v>
      </c>
      <c r="W29" s="254">
        <f t="shared" si="3"/>
      </c>
    </row>
    <row r="30" spans="1:23" ht="21.75" thickBot="1">
      <c r="A30" s="221">
        <v>3</v>
      </c>
      <c r="B30" t="s" s="221">
        <v>70</v>
      </c>
      <c r="C30" s="215">
        <v>3180166</v>
      </c>
      <c r="D30" s="216">
        <f t="shared" ref="D30:D37" si="4">C30/ $C$38</f>
      </c>
      <c r="E30" s="215">
        <v>1926637</v>
      </c>
      <c r="F30" s="216">
        <f t="shared" si="2"/>
      </c>
      <c r="J30" s="249"/>
      <c r="K30" s="338">
        <v>42748</v>
      </c>
      <c r="L30" s="250">
        <f>K30/30</f>
      </c>
      <c r="N30" s="249"/>
      <c r="T30" t="s" s="251">
        <v>147</v>
      </c>
      <c r="U30" s="252">
        <v>3566533</v>
      </c>
      <c r="V30" s="253">
        <v>61226</v>
      </c>
      <c r="W30" s="254">
        <f t="shared" si="3"/>
      </c>
    </row>
    <row r="31" spans="1:23" ht="18.75" thickBot="1">
      <c r="A31" s="221">
        <v>4</v>
      </c>
      <c r="B31" t="s" s="221">
        <v>92</v>
      </c>
      <c r="C31" s="215">
        <v>2614892</v>
      </c>
      <c r="D31" s="216">
        <f>C31/ $C$38</f>
      </c>
      <c r="E31" s="215">
        <v>1319060</v>
      </c>
      <c r="F31" s="216">
        <f t="shared" si="2"/>
      </c>
      <c r="J31" s="249"/>
      <c r="K31" s="249"/>
      <c r="L31" s="250"/>
      <c r="N31" s="249"/>
      <c r="T31" t="s" s="251">
        <v>150</v>
      </c>
      <c r="U31" s="252">
        <v>541489</v>
      </c>
      <c r="V31" s="253">
        <v>43347</v>
      </c>
      <c r="W31" s="254">
        <f t="shared" si="3"/>
      </c>
    </row>
    <row r="32" spans="1:23" ht="21.75" customHeight="1" thickBot="1">
      <c r="A32" s="221">
        <v>5</v>
      </c>
      <c r="B32" t="s" s="221">
        <v>136</v>
      </c>
      <c r="C32" s="215">
        <v>2381580</v>
      </c>
      <c r="D32" s="216">
        <f>C32/ $C$38</f>
      </c>
      <c r="E32" s="215">
        <v>1116361</v>
      </c>
      <c r="F32" s="216">
        <f t="shared" si="2"/>
      </c>
      <c r="J32" s="249"/>
      <c r="K32" s="249"/>
      <c r="L32" s="250"/>
      <c r="N32" s="249"/>
      <c r="T32" t="s" s="251">
        <v>151</v>
      </c>
      <c r="U32" s="252">
        <v>934355</v>
      </c>
      <c r="V32" s="253">
        <v>84613</v>
      </c>
      <c r="W32" s="254">
        <f t="shared" si="3"/>
      </c>
    </row>
    <row r="33" spans="1:23" ht="19.5" customHeight="1" thickBot="1">
      <c r="A33" s="221">
        <v>6</v>
      </c>
      <c r="B33" t="s" s="221">
        <v>69</v>
      </c>
      <c r="C33" s="215">
        <v>1912540</v>
      </c>
      <c r="D33" s="216">
        <f>C33/ $C$38</f>
      </c>
      <c r="E33" s="215">
        <v>148244</v>
      </c>
      <c r="F33" s="216">
        <f t="shared" si="2"/>
      </c>
      <c r="J33" s="249"/>
      <c r="K33" s="249"/>
      <c r="L33" s="250"/>
      <c r="N33" s="249"/>
      <c r="T33" t="s" s="251">
        <v>149</v>
      </c>
      <c r="U33" s="252">
        <v>1173201</v>
      </c>
      <c r="V33" s="253">
        <v>191154</v>
      </c>
      <c r="W33" s="254">
        <f t="shared" si="3"/>
      </c>
    </row>
    <row r="34" spans="1:23" ht="18.75" thickBot="1">
      <c r="A34" s="221">
        <v>7</v>
      </c>
      <c r="B34" t="s" s="221">
        <v>68</v>
      </c>
      <c r="C34" s="215">
        <v>1750094</v>
      </c>
      <c r="D34" s="216">
        <f t="shared" si="4"/>
      </c>
      <c r="E34" s="215">
        <v>760295</v>
      </c>
      <c r="F34" s="216">
        <f t="shared" si="2"/>
      </c>
      <c r="J34" s="249"/>
      <c r="K34" s="249"/>
      <c r="L34" s="250"/>
      <c r="N34" s="249"/>
      <c r="T34" t="s" s="251">
        <v>143</v>
      </c>
      <c r="U34" s="252">
        <v>284393</v>
      </c>
      <c r="V34" s="253">
        <v>33640</v>
      </c>
      <c r="W34" s="254">
        <f t="shared" si="3"/>
      </c>
    </row>
    <row r="35" spans="1:23" ht="18.75" thickBot="1">
      <c r="A35" s="221">
        <v>8</v>
      </c>
      <c r="B35" t="s" s="221">
        <v>144</v>
      </c>
      <c r="C35" s="215">
        <v>1193473</v>
      </c>
      <c r="D35" s="216">
        <f t="shared" si="4"/>
      </c>
      <c r="E35" s="215">
        <v>390008</v>
      </c>
      <c r="F35" s="216">
        <f t="shared" si="2"/>
      </c>
      <c r="G35" s="249"/>
      <c r="H35" s="249"/>
      <c r="I35" s="249"/>
      <c r="J35" s="249"/>
      <c r="K35" s="249"/>
      <c r="L35" s="250"/>
      <c r="N35" s="249"/>
      <c r="T35" t="s" s="251">
        <v>153</v>
      </c>
      <c r="U35" s="252">
        <v>466357</v>
      </c>
      <c r="V35" s="253">
        <v>42511</v>
      </c>
      <c r="W35" s="254">
        <f t="shared" si="3"/>
      </c>
    </row>
    <row r="36" spans="1:23" ht="18.75" customHeight="1" thickBot="1">
      <c r="A36" s="221">
        <v>9</v>
      </c>
      <c r="B36" t="s" s="221">
        <v>135</v>
      </c>
      <c r="C36" s="215">
        <v>1179052</v>
      </c>
      <c r="D36" s="216">
        <f t="shared" si="4"/>
      </c>
      <c r="E36" s="215">
        <v>488040</v>
      </c>
      <c r="F36" s="216">
        <f t="shared" si="2"/>
      </c>
      <c r="G36" s="249"/>
      <c r="H36" s="249"/>
      <c r="I36" s="249"/>
      <c r="J36" s="249"/>
      <c r="K36" s="249"/>
      <c r="L36" s="250"/>
      <c r="N36" s="249"/>
      <c r="T36" t="s" s="251">
        <v>148</v>
      </c>
      <c r="U36" s="252">
        <v>1752895</v>
      </c>
      <c r="V36" s="253">
        <v>140112</v>
      </c>
      <c r="W36" s="254">
        <f t="shared" si="3"/>
      </c>
    </row>
    <row r="37" spans="1:23" ht="18" customHeight="1" thickBot="1">
      <c r="A37" s="221">
        <v>10</v>
      </c>
      <c r="B37" t="s" s="221">
        <v>138</v>
      </c>
      <c r="C37" s="215">
        <v>1139472</v>
      </c>
      <c r="D37" s="216">
        <f t="shared" si="4"/>
      </c>
      <c r="E37" s="215">
        <v>521109</v>
      </c>
      <c r="F37" s="216">
        <f t="shared" si="2"/>
      </c>
      <c r="G37" s="249"/>
      <c r="H37" s="249"/>
      <c r="I37" s="249"/>
      <c r="J37" s="249"/>
      <c r="K37" s="249"/>
      <c r="L37" s="250"/>
      <c r="N37" s="249"/>
      <c r="T37" t="s" s="251">
        <v>145</v>
      </c>
      <c r="U37" s="252">
        <v>2468266</v>
      </c>
      <c r="V37" s="253">
        <v>578266</v>
      </c>
      <c r="W37" s="254">
        <f t="shared" si="3"/>
      </c>
    </row>
    <row r="38" spans="1:23" ht="18.75" thickBot="1">
      <c r="A38" s="258"/>
      <c r="B38" t="s" s="258">
        <v>161</v>
      </c>
      <c r="C38" s="265">
        <v>36882731</v>
      </c>
      <c r="D38" s="259">
        <f>SUM(D28:D37)</f>
      </c>
      <c r="E38" s="264">
        <v>15081630</v>
      </c>
      <c r="F38" s="260">
        <f>SUM(F28:F37)</f>
      </c>
      <c r="G38" s="249"/>
      <c r="H38" s="249"/>
      <c r="I38" s="249"/>
      <c r="J38" s="249"/>
      <c r="K38" s="249"/>
      <c r="L38" s="250"/>
      <c r="N38" s="249"/>
      <c r="T38" t="s" s="251">
        <v>104</v>
      </c>
      <c r="U38" s="252">
        <v>282210</v>
      </c>
      <c r="V38" s="253">
        <v>37096</v>
      </c>
      <c r="W38" s="254">
        <f t="shared" si="3"/>
      </c>
    </row>
    <row r="39" spans="1:23" ht="12.75" customHeight="1">
      <c r="B39" s="249"/>
      <c r="C39" s="249"/>
      <c r="D39" s="249"/>
      <c r="E39" s="249"/>
      <c r="F39" s="249"/>
      <c r="G39" s="249"/>
      <c r="H39" s="249"/>
      <c r="I39" s="249"/>
      <c r="J39" s="249"/>
      <c r="K39" s="249"/>
      <c r="L39" s="249"/>
      <c r="M39" s="249"/>
      <c r="N39" s="249"/>
      <c r="W39" s="254">
        <f>SUM(W27:W38)</f>
      </c>
    </row>
    <row r="40" spans="1:23" ht="12.75" customHeight="1">
      <c r="A40" s="589">
        <f>" - Top 10 sections constitute " &amp; TEXT(D38, "0.00%") &amp; " of Page views. (Total Page views – " &amp; TEXT(C38, "#,##0") &amp; ")" &amp; CHAR(10) &amp; " - " &amp; TEXT(F38, "0.00%") &amp; " of page views are unique Page views for top 10 sections."</f>
      </c>
      <c r="B40" s="589"/>
      <c r="C40" s="589"/>
      <c r="D40" s="589"/>
      <c r="E40" s="589"/>
      <c r="F40" s="589"/>
      <c r="G40" s="249"/>
      <c r="H40" s="249"/>
      <c r="I40" s="249"/>
      <c r="J40" s="249"/>
      <c r="K40" s="249"/>
      <c r="L40" s="249"/>
      <c r="M40" s="249"/>
      <c r="N40" s="249"/>
    </row>
    <row r="41" spans="1:23" ht="30" customHeight="1">
      <c r="A41" s="589"/>
      <c r="B41" s="589"/>
      <c r="C41" s="589"/>
      <c r="D41" s="589"/>
      <c r="E41" s="589"/>
      <c r="F41" s="589"/>
    </row>
    <row r="42" spans="1:23" ht="15.75" customHeight="1">
      <c r="A42" s="589"/>
      <c r="B42" s="589"/>
      <c r="C42" s="589"/>
      <c r="D42" s="589"/>
      <c r="E42" s="589"/>
      <c r="F42" s="589"/>
    </row>
    <row r="43" spans="1:23" ht="15" customHeight="1">
      <c r="A43" s="589"/>
      <c r="B43" s="589"/>
      <c r="C43" s="589"/>
      <c r="D43" s="589"/>
      <c r="E43" s="589"/>
      <c r="F43" s="589"/>
    </row>
    <row r="44" spans="1:23" ht="15.75" customHeight="1">
      <c r="A44" s="589"/>
      <c r="B44" s="589"/>
      <c r="C44" s="589"/>
      <c r="D44" s="589"/>
      <c r="E44" s="589"/>
      <c r="F44" s="589"/>
    </row>
    <row r="45" spans="1:23" ht="15" customHeight="1">
      <c r="A45" s="589"/>
      <c r="B45" s="589"/>
      <c r="C45" s="589"/>
      <c r="D45" s="589"/>
      <c r="E45" s="589"/>
      <c r="F45" s="589"/>
    </row>
    <row r="46" spans="1:23" ht="15.75" customHeight="1">
      <c r="A46" s="589"/>
      <c r="B46" s="589"/>
      <c r="C46" s="589"/>
      <c r="D46" s="589"/>
      <c r="E46" s="589"/>
      <c r="F46" s="589"/>
    </row>
    <row r="49" spans="4:4">
      <c r="D49" s="240"/>
    </row>
    <row r="50" spans="4:4">
      <c r="D50" s="240"/>
    </row>
    <row r="51" spans="4:4">
      <c r="D51" s="240"/>
    </row>
    <row r="52" spans="4:4">
      <c r="D52" s="240"/>
    </row>
    <row r="53" spans="4:4">
      <c r="D53" s="240"/>
    </row>
    <row r="54" spans="4:4">
      <c r="D54" s="240"/>
    </row>
    <row r="55" spans="4:4">
      <c r="D55" s="240"/>
    </row>
    <row r="56" spans="4:4">
      <c r="D56" s="240"/>
    </row>
    <row r="57" spans="4:4">
      <c r="D57" s="240"/>
    </row>
    <row r="58" spans="4:4">
      <c r="D58" s="240"/>
    </row>
    <row r="65" spans="4:4">
      <c r="D65" s="240"/>
    </row>
    <row r="66" spans="4:4">
      <c r="D66" s="240"/>
    </row>
    <row r="67" spans="4:4">
      <c r="D67" s="240"/>
    </row>
    <row r="68" spans="4:4">
      <c r="D68" s="240"/>
    </row>
    <row r="69" spans="4:4">
      <c r="D69" s="240"/>
    </row>
    <row r="70" spans="4:4">
      <c r="D70" s="240"/>
    </row>
    <row r="71" spans="4:4">
      <c r="D71" s="240"/>
    </row>
    <row r="72" spans="4:4">
      <c r="D72" s="240"/>
    </row>
    <row r="73" spans="4:4">
      <c r="D73" s="240"/>
    </row>
    <row r="74" spans="4:4">
      <c r="D74" s="240"/>
    </row>
    <row r="310" spans="3:7">
      <c r="C310" s="254"/>
      <c r="D310" s="255"/>
      <c r="E310" s="254"/>
      <c r="F310" s="246"/>
    </row>
    <row r="311" spans="3:7">
      <c r="E311" s="256"/>
      <c r="F311" s="246"/>
      <c r="G311" s="246"/>
    </row>
    <row r="312" spans="3:7">
      <c r="E312" s="256"/>
      <c r="F312" s="246"/>
      <c r="G312" s="246"/>
    </row>
    <row r="313" spans="3:7">
      <c r="E313" s="256"/>
      <c r="F313" s="246"/>
      <c r="G313" s="246"/>
    </row>
    <row r="314" spans="3:7">
      <c r="E314" s="256"/>
      <c r="F314" s="246"/>
      <c r="G314" s="246"/>
    </row>
    <row r="315" spans="3:7">
      <c r="E315" s="256"/>
      <c r="F315" s="246"/>
      <c r="G315" s="246"/>
    </row>
    <row r="316" spans="3:7">
      <c r="E316" s="256"/>
      <c r="F316" s="246"/>
      <c r="G316" s="246"/>
    </row>
    <row r="317" spans="3:7">
      <c r="E317" s="256"/>
      <c r="F317" s="246"/>
      <c r="G317" s="246"/>
    </row>
    <row r="318" spans="3:7">
      <c r="E318" s="256"/>
      <c r="F318" s="246"/>
      <c r="G318" s="246"/>
    </row>
    <row r="319" spans="3:7">
      <c r="E319" s="256"/>
      <c r="F319" s="246"/>
      <c r="G319" s="246"/>
    </row>
    <row r="320" spans="3:7">
      <c r="E320" s="256"/>
      <c r="F320" s="246"/>
      <c r="G320" s="246"/>
    </row>
  </sheetData>
  <sortState xmlns:xlrd2="http://schemas.microsoft.com/office/spreadsheetml/2017/richdata2" ref="L9:O21">
    <sortCondition ref="L9:L21"/>
  </sortState>
  <mergeCells count="4">
    <mergeCell ref="B25:E25"/>
    <mergeCell ref="B1:E1"/>
    <mergeCell ref="A17:F23"/>
    <mergeCell ref="A40:F46"/>
  </mergeCells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/>
  <sheetViews>
    <sheetView topLeftCell="A58" workbookViewId="0">
      <selection activeCell="H79" sqref="H79"/>
    </sheetView>
  </sheetViews>
  <sheetFormatPr defaultRowHeight="12.75"/>
  <cols>
    <col min="1" max="1" width="32" customWidth="1"/>
    <col min="2" max="2" width="23.28515625" customWidth="1"/>
    <col min="3" max="3" width="20" style="2" customWidth="1"/>
    <col min="4" max="4" width="14.140625" customWidth="1"/>
    <col min="5" max="5" width="10.7109375" bestFit="1" customWidth="1"/>
    <col min="6" max="6" width="12.140625" bestFit="1" customWidth="1"/>
    <col min="7" max="7" width="35.5703125" customWidth="1"/>
    <col min="8" max="8" width="13.5703125" customWidth="1"/>
    <col min="9" max="9" width="23.7109375" customWidth="1"/>
    <col min="18" max="18" width="10.42578125" customWidth="1"/>
    <col min="20" max="20" width="10.140625" bestFit="1" customWidth="1"/>
  </cols>
  <sheetData>
    <row r="1" spans="1:6" ht="24.75" customHeight="1">
      <c r="A1" t="s" s="192">
        <v>103</v>
      </c>
      <c r="B1" t="s" s="192">
        <v>64</v>
      </c>
      <c r="C1" t="s" s="193">
        <v>21</v>
      </c>
    </row>
    <row r="2" spans="1:6" ht="27.75" customHeight="1">
      <c r="A2" t="s" s="194">
        <v>286</v>
      </c>
      <c r="B2" s="197">
        <v>806874</v>
      </c>
      <c r="C2" s="201">
        <f>B2/$B$19*100</f>
      </c>
      <c r="D2" s="2"/>
    </row>
    <row r="3" spans="1:6" ht="24" customHeight="1">
      <c r="A3" t="s" s="194">
        <v>287</v>
      </c>
      <c r="B3" s="177">
        <v>415912</v>
      </c>
      <c r="C3" s="201">
        <f t="shared" ref="C3:C17" si="0">B3/$B$19*100</f>
      </c>
      <c r="D3" s="2"/>
    </row>
    <row r="4" spans="1:6" ht="24.75" customHeight="1">
      <c r="A4" t="s" s="194">
        <v>288</v>
      </c>
      <c r="B4" s="177">
        <v>372255</v>
      </c>
      <c r="C4" s="201">
        <f t="shared" si="0"/>
      </c>
      <c r="D4" s="2"/>
    </row>
    <row r="5" spans="1:6" ht="21" customHeight="1">
      <c r="A5" t="s" s="194">
        <v>295</v>
      </c>
      <c r="B5" s="177">
        <v>192716</v>
      </c>
      <c r="C5" s="201">
        <f t="shared" si="0"/>
      </c>
      <c r="D5" s="2"/>
      <c r="F5" s="2"/>
    </row>
    <row r="6" spans="1:6" ht="23.25" customHeight="1">
      <c r="A6" t="s" s="194">
        <v>289</v>
      </c>
      <c r="B6" s="177">
        <v>182035</v>
      </c>
      <c r="C6" s="201">
        <f t="shared" si="0"/>
      </c>
      <c r="D6" s="2"/>
    </row>
    <row r="7" spans="1:6" ht="26.25" customHeight="1">
      <c r="A7" t="s" s="194">
        <v>291</v>
      </c>
      <c r="B7" s="177">
        <v>177226</v>
      </c>
      <c r="C7" s="201">
        <f t="shared" si="0"/>
      </c>
      <c r="D7" s="2"/>
    </row>
    <row r="8" spans="1:6" ht="24.75" customHeight="1">
      <c r="A8" t="s" s="194">
        <v>290</v>
      </c>
      <c r="B8" s="177">
        <v>85196</v>
      </c>
      <c r="C8" s="201">
        <f t="shared" si="0"/>
      </c>
      <c r="D8" s="2"/>
    </row>
    <row r="9" spans="1:6" ht="24" customHeight="1">
      <c r="A9" t="s" s="194">
        <v>292</v>
      </c>
      <c r="B9" s="177">
        <v>30642</v>
      </c>
      <c r="C9" s="201">
        <f t="shared" si="0"/>
      </c>
      <c r="D9" s="2"/>
    </row>
    <row r="10" spans="1:6" ht="22.5" customHeight="1">
      <c r="A10" t="s" s="194">
        <v>293</v>
      </c>
      <c r="B10" s="177">
        <v>16787</v>
      </c>
      <c r="C10" s="201">
        <f t="shared" si="0"/>
      </c>
    </row>
    <row r="11" spans="1:6" ht="22.5" customHeight="1">
      <c r="A11" t="s" s="194">
        <v>285</v>
      </c>
      <c r="B11" s="177">
        <v>14873</v>
      </c>
      <c r="C11" s="201">
        <f t="shared" si="0"/>
      </c>
    </row>
    <row r="12" spans="1:6" ht="22.5" customHeight="1">
      <c r="A12" t="s" s="195">
        <v>297</v>
      </c>
      <c r="B12" s="177">
        <v>6449</v>
      </c>
      <c r="C12" s="201">
        <f t="shared" si="0"/>
      </c>
    </row>
    <row r="13" spans="1:6" ht="21" customHeight="1">
      <c r="A13" t="s" s="194">
        <v>299</v>
      </c>
      <c r="B13" s="177">
        <v>6165</v>
      </c>
      <c r="C13" s="201">
        <f t="shared" si="0"/>
      </c>
    </row>
    <row r="14" spans="1:6" ht="21" customHeight="1">
      <c r="A14" t="s" s="194">
        <v>298</v>
      </c>
      <c r="B14" s="177">
        <v>790</v>
      </c>
      <c r="C14" s="201">
        <f t="shared" si="0"/>
      </c>
    </row>
    <row r="15" spans="1:6" ht="22.5" customHeight="1">
      <c r="A15" t="s" s="194">
        <v>294</v>
      </c>
      <c r="B15" s="177">
        <v>157</v>
      </c>
      <c r="C15" s="201">
        <f t="shared" si="0"/>
      </c>
    </row>
    <row r="16" spans="1:6" ht="21.75" customHeight="1">
      <c r="A16" t="s" s="194">
        <v>296</v>
      </c>
      <c r="B16" s="177">
        <v>97</v>
      </c>
      <c r="C16" s="201">
        <f t="shared" si="0"/>
      </c>
    </row>
    <row r="17" spans="1:5" ht="21.75" customHeight="1">
      <c r="A17" t="s" s="194">
        <v>299</v>
      </c>
      <c r="B17" s="177">
        <v>1</v>
      </c>
      <c r="C17" s="201">
        <f t="shared" si="0"/>
      </c>
    </row>
    <row r="18" spans="1:5" ht="26.25" customHeight="1">
      <c r="A18" s="132"/>
      <c r="B18" s="184"/>
      <c r="D18" s="1"/>
    </row>
    <row r="19" spans="1:5" ht="14.25">
      <c r="B19" s="198">
        <v>2306319</v>
      </c>
      <c r="D19" s="191"/>
      <c r="E19" s="1"/>
    </row>
    <row r="20" spans="1:5" ht="14.25">
      <c r="B20" s="199"/>
    </row>
    <row r="21" spans="1:5" ht="14.25">
      <c r="B21" s="199"/>
    </row>
    <row r="22" spans="1:5">
      <c r="B22" s="184"/>
    </row>
    <row r="23" spans="1:5" ht="23.25" customHeight="1">
      <c r="A23" t="s" s="194">
        <v>286</v>
      </c>
      <c r="B23" s="177">
        <v>565677</v>
      </c>
      <c r="C23" s="201">
        <f>B23/$B$19*100</f>
      </c>
    </row>
    <row r="24" spans="1:5" ht="23.25" customHeight="1">
      <c r="A24" t="s" s="194">
        <v>287</v>
      </c>
      <c r="B24" s="177">
        <v>404592</v>
      </c>
      <c r="C24" s="201">
        <f t="shared" ref="C24:C38" si="1">B24/$B$19*100</f>
      </c>
    </row>
    <row r="25" spans="1:5" ht="21.75" customHeight="1">
      <c r="A25" t="s" s="194">
        <v>288</v>
      </c>
      <c r="B25" s="177">
        <v>352160</v>
      </c>
      <c r="C25" s="201">
        <f t="shared" si="1"/>
      </c>
    </row>
    <row r="26" spans="1:5" ht="24" customHeight="1">
      <c r="A26" t="s" s="194">
        <v>295</v>
      </c>
      <c r="B26" s="177">
        <v>187460</v>
      </c>
      <c r="C26" s="201">
        <f t="shared" si="1"/>
      </c>
    </row>
    <row r="27" spans="1:5" ht="23.25" customHeight="1">
      <c r="A27" t="s" s="194">
        <v>289</v>
      </c>
      <c r="B27" s="177">
        <v>179858</v>
      </c>
      <c r="C27" s="201">
        <f t="shared" si="1"/>
      </c>
    </row>
    <row r="28" spans="1:5" ht="24.75" customHeight="1">
      <c r="A28" t="s" s="194">
        <v>291</v>
      </c>
      <c r="B28" s="177">
        <v>156137</v>
      </c>
      <c r="C28" s="201">
        <f t="shared" si="1"/>
      </c>
    </row>
    <row r="29" spans="1:5" ht="20.25" customHeight="1">
      <c r="A29" t="s" s="194">
        <v>290</v>
      </c>
      <c r="B29" s="177">
        <v>69391</v>
      </c>
      <c r="C29" s="201">
        <f t="shared" si="1"/>
      </c>
    </row>
    <row r="30" spans="1:5" ht="24" customHeight="1">
      <c r="A30" t="s" s="194">
        <v>292</v>
      </c>
      <c r="B30" s="177">
        <v>30323</v>
      </c>
      <c r="C30" s="201">
        <f t="shared" si="1"/>
      </c>
    </row>
    <row r="31" spans="1:5" ht="22.5" customHeight="1">
      <c r="A31" t="s" s="194">
        <v>285</v>
      </c>
      <c r="B31" s="177">
        <v>14588</v>
      </c>
      <c r="C31" s="201">
        <f t="shared" si="1"/>
      </c>
    </row>
    <row r="32" spans="1:5" ht="22.5" customHeight="1">
      <c r="A32" t="s" s="194">
        <v>293</v>
      </c>
      <c r="B32" s="177">
        <v>10426</v>
      </c>
      <c r="C32" s="201">
        <f t="shared" si="1"/>
      </c>
    </row>
    <row r="33" spans="1:10" ht="21.75" customHeight="1">
      <c r="A33" t="s" s="194">
        <v>299</v>
      </c>
      <c r="B33" s="177">
        <v>5945</v>
      </c>
      <c r="C33" s="201">
        <f t="shared" si="1"/>
      </c>
    </row>
    <row r="34" spans="1:10" ht="24" customHeight="1">
      <c r="A34" t="s" s="194">
        <v>297</v>
      </c>
      <c r="B34" s="177">
        <v>5144</v>
      </c>
      <c r="C34" s="201">
        <f t="shared" si="1"/>
      </c>
    </row>
    <row r="35" spans="1:10" ht="21" customHeight="1">
      <c r="A35" t="s" s="194">
        <v>298</v>
      </c>
      <c r="B35" s="177">
        <v>621</v>
      </c>
      <c r="C35" s="201">
        <f t="shared" si="1"/>
      </c>
    </row>
    <row r="36" spans="1:10" ht="21.75" customHeight="1">
      <c r="A36" t="s" s="194">
        <v>294</v>
      </c>
      <c r="B36" s="177">
        <v>102</v>
      </c>
      <c r="C36" s="201">
        <f t="shared" si="1"/>
      </c>
    </row>
    <row r="37" spans="1:10" ht="19.5" customHeight="1">
      <c r="A37" t="s" s="194">
        <v>296</v>
      </c>
      <c r="B37" s="177">
        <v>81</v>
      </c>
      <c r="C37" s="201">
        <f t="shared" si="1"/>
      </c>
    </row>
    <row r="38" spans="1:10" ht="20.25" customHeight="1">
      <c r="A38" t="s" s="194">
        <v>300</v>
      </c>
      <c r="B38" s="200">
        <v>2</v>
      </c>
      <c r="C38" s="201">
        <f t="shared" si="1"/>
      </c>
    </row>
    <row r="39" spans="1:10" ht="21" customHeight="1">
      <c r="A39" s="194"/>
      <c r="B39" s="177">
        <v>1941298</v>
      </c>
      <c r="C39" s="196"/>
    </row>
    <row r="43" spans="1:10" ht="18">
      <c r="E43" s="190"/>
    </row>
    <row r="44" spans="1:10" ht="20.25">
      <c r="A44" t="s" s="594">
        <v>283</v>
      </c>
      <c r="B44" s="594"/>
      <c r="C44" s="594"/>
      <c r="E44" s="190"/>
      <c r="G44" t="s" s="594">
        <v>284</v>
      </c>
      <c r="H44" s="594"/>
      <c r="I44" s="594"/>
      <c r="J44" s="189"/>
    </row>
    <row r="45" spans="1:10" ht="20.25">
      <c r="E45" s="190"/>
      <c r="J45" s="189"/>
    </row>
    <row r="46" spans="1:10" ht="18">
      <c r="A46" t="s" s="203">
        <v>277</v>
      </c>
      <c r="B46" t="s" s="203">
        <v>278</v>
      </c>
      <c r="C46" t="s" s="203">
        <v>279</v>
      </c>
      <c r="D46" s="206"/>
      <c r="E46" s="190"/>
      <c r="F46" s="206"/>
      <c r="G46" t="s" s="214">
        <v>277</v>
      </c>
      <c r="H46" t="s" s="214">
        <v>278</v>
      </c>
      <c r="I46" t="s" s="214">
        <v>279</v>
      </c>
      <c r="J46" s="207"/>
    </row>
    <row r="47" spans="1:10" ht="18">
      <c r="A47" t="s" s="204">
        <v>302</v>
      </c>
      <c r="B47" s="212">
        <v>776423</v>
      </c>
      <c r="C47" s="205">
        <f>B47/$B$19</f>
      </c>
      <c r="D47" s="206"/>
      <c r="E47" s="190"/>
      <c r="F47" s="206"/>
      <c r="G47" t="s" s="214">
        <v>302</v>
      </c>
      <c r="H47" s="215">
        <v>564222</v>
      </c>
      <c r="I47" s="216">
        <f>H47/$B$39</f>
      </c>
      <c r="J47" s="207"/>
    </row>
    <row r="48" spans="1:10" ht="18">
      <c r="A48" t="s" s="204">
        <v>301</v>
      </c>
      <c r="B48" s="212">
        <v>474628</v>
      </c>
      <c r="C48" s="205">
        <f t="shared" ref="C48:C56" si="2">B48/$B$19</f>
      </c>
      <c r="D48" s="206"/>
      <c r="E48" s="206"/>
      <c r="F48" s="206"/>
      <c r="G48" t="s" s="214">
        <v>301</v>
      </c>
      <c r="H48" s="215">
        <v>463124</v>
      </c>
      <c r="I48" s="216">
        <f t="shared" ref="I48:I56" si="3">H48/$B$39</f>
      </c>
      <c r="J48" s="207"/>
    </row>
    <row r="49" spans="1:20" ht="18">
      <c r="A49" t="s" s="204">
        <v>304</v>
      </c>
      <c r="B49" s="212">
        <v>177226</v>
      </c>
      <c r="C49" s="205">
        <f t="shared" si="2"/>
      </c>
      <c r="D49" s="206"/>
      <c r="E49" s="206"/>
      <c r="F49" s="206"/>
      <c r="G49" t="s" s="214">
        <v>304</v>
      </c>
      <c r="H49" s="215">
        <v>156137</v>
      </c>
      <c r="I49" s="216">
        <f t="shared" si="3"/>
      </c>
      <c r="J49" s="207"/>
    </row>
    <row r="50" spans="1:20" ht="18">
      <c r="A50" t="s" s="204">
        <v>303</v>
      </c>
      <c r="B50" s="212">
        <v>113513</v>
      </c>
      <c r="C50" s="205">
        <f t="shared" si="2"/>
      </c>
      <c r="D50" s="206"/>
      <c r="E50" s="206"/>
      <c r="F50" s="206"/>
      <c r="G50" t="s" s="214">
        <v>303</v>
      </c>
      <c r="H50" s="215">
        <v>112878</v>
      </c>
      <c r="I50" s="216">
        <f t="shared" si="3"/>
      </c>
      <c r="J50" s="206"/>
    </row>
    <row r="51" spans="1:20" ht="18">
      <c r="A51" t="s" s="204">
        <v>578</v>
      </c>
      <c r="B51" s="212">
        <v>90985</v>
      </c>
      <c r="C51" s="205">
        <f t="shared" si="2"/>
      </c>
      <c r="D51" s="206"/>
      <c r="E51" s="206"/>
      <c r="F51" s="206"/>
      <c r="G51" t="s" s="214">
        <v>578</v>
      </c>
      <c r="H51" s="215">
        <v>88648</v>
      </c>
      <c r="I51" s="216">
        <f t="shared" si="3"/>
      </c>
      <c r="J51" s="206"/>
    </row>
    <row r="52" spans="1:20" ht="18">
      <c r="A52" t="s" s="209">
        <v>476</v>
      </c>
      <c r="B52" s="212">
        <v>77794</v>
      </c>
      <c r="C52" s="205">
        <f t="shared" si="2"/>
      </c>
      <c r="D52" s="206"/>
      <c r="E52" s="206"/>
      <c r="F52" s="206"/>
      <c r="G52" t="s" s="217">
        <v>476</v>
      </c>
      <c r="H52" s="218">
        <v>77411</v>
      </c>
      <c r="I52" s="216">
        <f t="shared" si="3"/>
      </c>
      <c r="J52" s="206"/>
    </row>
    <row r="53" spans="1:20" ht="18">
      <c r="A53" t="s" s="209">
        <v>305</v>
      </c>
      <c r="B53" s="211">
        <v>66405</v>
      </c>
      <c r="C53" s="205">
        <f t="shared" si="2"/>
      </c>
      <c r="D53" s="206"/>
      <c r="E53" s="206"/>
      <c r="F53" s="206"/>
      <c r="G53" t="s" s="217">
        <v>305</v>
      </c>
      <c r="H53" s="218">
        <v>65476</v>
      </c>
      <c r="I53" s="216">
        <f t="shared" si="3"/>
      </c>
      <c r="J53" s="206"/>
    </row>
    <row r="54" spans="1:20" ht="18">
      <c r="A54" t="s" s="209">
        <v>579</v>
      </c>
      <c r="B54" s="213">
        <v>64082</v>
      </c>
      <c r="C54" s="205">
        <f t="shared" si="2"/>
      </c>
      <c r="D54" s="206"/>
      <c r="E54" s="206"/>
      <c r="F54" s="206"/>
      <c r="G54" t="s" s="217">
        <v>579</v>
      </c>
      <c r="H54" s="218">
        <v>62596</v>
      </c>
      <c r="I54" s="216">
        <f t="shared" si="3"/>
      </c>
      <c r="J54" s="206"/>
      <c r="R54" s="110"/>
      <c r="T54" s="108"/>
    </row>
    <row r="55" spans="1:20" ht="18">
      <c r="A55" t="s" s="209">
        <v>580</v>
      </c>
      <c r="B55" s="212">
        <v>39404</v>
      </c>
      <c r="C55" s="205">
        <f t="shared" si="2"/>
      </c>
      <c r="D55" s="206"/>
      <c r="E55" s="206"/>
      <c r="F55" s="206"/>
      <c r="G55" t="s" s="217">
        <v>580</v>
      </c>
      <c r="H55" s="218">
        <v>38690</v>
      </c>
      <c r="I55" s="216">
        <f t="shared" si="3"/>
      </c>
      <c r="J55" s="206"/>
      <c r="R55" s="108"/>
      <c r="T55" s="108"/>
    </row>
    <row r="56" spans="1:20" ht="18">
      <c r="A56" t="s" s="209">
        <v>581</v>
      </c>
      <c r="B56" s="213">
        <v>32712</v>
      </c>
      <c r="C56" s="205">
        <f t="shared" si="2"/>
      </c>
      <c r="D56" s="206"/>
      <c r="E56" s="206"/>
      <c r="F56" s="206"/>
      <c r="G56" t="s" s="217">
        <v>581</v>
      </c>
      <c r="H56" s="218">
        <v>32211</v>
      </c>
      <c r="I56" s="216">
        <f t="shared" si="3"/>
      </c>
      <c r="J56" s="206"/>
    </row>
    <row r="57" spans="1:20" ht="18">
      <c r="A57" s="206"/>
      <c r="B57" s="206"/>
      <c r="C57" s="208"/>
      <c r="D57" s="206"/>
      <c r="E57" s="206"/>
      <c r="F57" s="206"/>
      <c r="G57" s="206"/>
      <c r="H57" s="206"/>
      <c r="I57" s="206"/>
      <c r="J57" s="206"/>
    </row>
    <row r="58" spans="1:20" ht="18">
      <c r="D58" s="206"/>
      <c r="E58" s="206"/>
      <c r="F58" s="206"/>
      <c r="J58" s="206"/>
    </row>
    <row r="59" spans="1:20" ht="18">
      <c r="D59" s="206"/>
      <c r="E59" s="206"/>
      <c r="F59" s="206"/>
      <c r="J59" s="206"/>
    </row>
    <row r="60" spans="1:20" ht="18">
      <c r="D60" s="206"/>
      <c r="E60" s="206"/>
      <c r="F60" s="206"/>
      <c r="J60" s="206"/>
    </row>
    <row r="61" spans="1:20" ht="18">
      <c r="D61" s="206"/>
      <c r="E61" s="206"/>
      <c r="F61" s="206"/>
      <c r="J61" s="206"/>
    </row>
    <row r="62" spans="1:20" ht="18">
      <c r="D62" s="206"/>
      <c r="E62" s="206"/>
      <c r="F62" s="206"/>
      <c r="J62" s="206"/>
    </row>
    <row r="63" spans="1:20" ht="18">
      <c r="D63" s="206"/>
      <c r="E63" s="206"/>
      <c r="F63" s="206"/>
      <c r="J63" s="206"/>
    </row>
    <row r="64" spans="1:20" ht="18">
      <c r="D64" s="206"/>
      <c r="E64" s="206"/>
      <c r="F64" s="206"/>
      <c r="J64" s="206"/>
    </row>
    <row r="65" spans="1:10">
      <c r="H65" s="38"/>
    </row>
    <row r="67" spans="1:10" ht="18">
      <c r="A67" t="s" s="219">
        <v>280</v>
      </c>
      <c r="B67" t="s" s="219">
        <v>281</v>
      </c>
      <c r="C67" t="s" s="220">
        <v>282</v>
      </c>
      <c r="D67" t="s" s="86">
        <v>61</v>
      </c>
      <c r="G67" t="s" s="223">
        <v>280</v>
      </c>
      <c r="H67" t="s" s="223">
        <v>281</v>
      </c>
      <c r="I67" t="s" s="223">
        <v>282</v>
      </c>
      <c r="J67" t="s" s="86">
        <v>61</v>
      </c>
    </row>
    <row r="68" spans="1:10" ht="18">
      <c r="A68" t="s" s="221">
        <v>302</v>
      </c>
      <c r="B68" s="222">
        <v>776423</v>
      </c>
      <c r="C68" s="220">
        <f>D68/B68</f>
      </c>
      <c r="D68" s="38">
        <v>1909110</v>
      </c>
      <c r="G68" t="s" s="221">
        <v>302</v>
      </c>
      <c r="H68" s="224">
        <v>564222</v>
      </c>
      <c r="I68" s="226">
        <f>J68/H68</f>
      </c>
      <c r="J68" s="38">
        <v>1296539</v>
      </c>
    </row>
    <row r="69" spans="1:10" ht="18">
      <c r="A69" t="s" s="221">
        <v>307</v>
      </c>
      <c r="B69" s="222">
        <v>21807</v>
      </c>
      <c r="C69" s="220">
        <f t="shared" ref="C69:C77" si="4">D69/B69</f>
      </c>
      <c r="D69" s="38">
        <v>59780</v>
      </c>
      <c r="G69" t="s" s="221">
        <v>306</v>
      </c>
      <c r="H69" s="224">
        <v>1101</v>
      </c>
      <c r="I69" s="226">
        <f t="shared" ref="I69:I75" si="5">J69/H69</f>
      </c>
      <c r="J69" s="38">
        <v>2200</v>
      </c>
    </row>
    <row r="70" spans="1:10" ht="18">
      <c r="A70" t="s" s="221">
        <v>306</v>
      </c>
      <c r="B70" s="222">
        <v>1374</v>
      </c>
      <c r="C70" s="220">
        <f t="shared" si="4"/>
      </c>
      <c r="D70" s="38">
        <v>2965</v>
      </c>
      <c r="G70" t="s" s="221">
        <v>307</v>
      </c>
      <c r="H70" s="224">
        <v>969</v>
      </c>
      <c r="I70" s="226">
        <f t="shared" si="5"/>
      </c>
      <c r="J70" s="38">
        <v>2074</v>
      </c>
    </row>
    <row r="71" spans="1:10" ht="18">
      <c r="A71" t="s" s="221">
        <v>308</v>
      </c>
      <c r="B71" s="219">
        <v>812</v>
      </c>
      <c r="C71" s="220">
        <f t="shared" si="4"/>
      </c>
      <c r="D71" s="38">
        <v>2121</v>
      </c>
      <c r="G71" t="s" s="221">
        <v>308</v>
      </c>
      <c r="H71" s="223">
        <v>121</v>
      </c>
      <c r="I71" s="226">
        <f t="shared" si="5"/>
      </c>
      <c r="J71" s="38">
        <v>213</v>
      </c>
    </row>
    <row r="72" spans="1:10" ht="18">
      <c r="A72" t="s" s="221">
        <v>309</v>
      </c>
      <c r="B72" s="219">
        <v>167</v>
      </c>
      <c r="C72" s="220">
        <f t="shared" si="4"/>
      </c>
      <c r="D72" s="38">
        <v>378</v>
      </c>
      <c r="G72" t="s" s="221">
        <v>309</v>
      </c>
      <c r="H72" s="223">
        <v>71</v>
      </c>
      <c r="I72" s="226">
        <f t="shared" si="5"/>
      </c>
      <c r="J72" s="38">
        <v>140</v>
      </c>
    </row>
    <row r="73" spans="1:10" ht="18">
      <c r="A73" t="s" s="221">
        <v>311</v>
      </c>
      <c r="B73" s="219">
        <v>36</v>
      </c>
      <c r="C73" s="220">
        <f t="shared" si="4"/>
      </c>
      <c r="D73" s="38">
        <v>77</v>
      </c>
      <c r="G73" t="s" s="221">
        <v>310</v>
      </c>
      <c r="H73" s="225">
        <v>24</v>
      </c>
      <c r="I73" s="226">
        <f t="shared" si="5"/>
      </c>
      <c r="J73" s="38">
        <v>40</v>
      </c>
    </row>
    <row r="74" spans="1:10" ht="18">
      <c r="A74" t="s" s="221">
        <v>310</v>
      </c>
      <c r="B74" s="223">
        <v>25</v>
      </c>
      <c r="C74" s="220">
        <f t="shared" si="4"/>
      </c>
      <c r="D74" s="38">
        <v>42</v>
      </c>
      <c r="G74" t="s" s="221">
        <v>311</v>
      </c>
      <c r="H74" s="225">
        <v>11</v>
      </c>
      <c r="I74" s="226">
        <f t="shared" si="5"/>
      </c>
      <c r="J74" s="38">
        <v>25</v>
      </c>
    </row>
    <row r="75" spans="1:10" ht="18">
      <c r="A75" t="s" s="221">
        <v>313</v>
      </c>
      <c r="B75" s="223">
        <v>4</v>
      </c>
      <c r="C75" s="220">
        <f t="shared" si="4"/>
      </c>
      <c r="D75" s="38">
        <v>4</v>
      </c>
      <c r="F75" s="210"/>
      <c r="G75" t="s" s="221">
        <v>312</v>
      </c>
      <c r="H75" s="225">
        <v>2</v>
      </c>
      <c r="I75" s="226">
        <f t="shared" si="5"/>
      </c>
      <c r="J75" s="38">
        <v>2</v>
      </c>
    </row>
    <row r="76" spans="1:10" ht="18">
      <c r="A76" t="s" s="221">
        <v>477</v>
      </c>
      <c r="B76" s="223">
        <v>2</v>
      </c>
      <c r="C76" s="220">
        <f t="shared" si="4"/>
      </c>
      <c r="D76" s="38">
        <v>3</v>
      </c>
      <c r="F76" s="210"/>
      <c r="G76" t="s" s="221">
        <v>314</v>
      </c>
      <c r="H76" s="225">
        <v>1</v>
      </c>
      <c r="I76" s="226">
        <f>J76/H76</f>
      </c>
      <c r="J76" s="38">
        <v>2</v>
      </c>
    </row>
    <row r="77" spans="1:10" ht="18">
      <c r="A77" t="s" s="221">
        <v>312</v>
      </c>
      <c r="B77" s="223">
        <v>2</v>
      </c>
      <c r="C77" s="220">
        <f t="shared" si="4"/>
      </c>
      <c r="D77" s="38">
        <v>2</v>
      </c>
      <c r="F77" s="210"/>
      <c r="G77" t="s" s="221">
        <v>582</v>
      </c>
      <c r="H77" s="225">
        <v>1</v>
      </c>
      <c r="I77" s="226">
        <f>J77/H77</f>
      </c>
      <c r="J77" s="38">
        <v>1</v>
      </c>
    </row>
    <row r="78" spans="1:10" ht="18">
      <c r="C78" s="202"/>
      <c r="D78" s="38"/>
      <c r="F78" s="210"/>
      <c r="H78" s="99"/>
      <c r="I78" s="2"/>
    </row>
    <row r="79" spans="1:10" ht="18">
      <c r="B79" s="1">
        <f>SUM(B68:B73)</f>
      </c>
      <c r="C79" s="202"/>
      <c r="F79" s="210"/>
      <c r="H79" s="99">
        <f>SUM(H68:H73)</f>
      </c>
    </row>
  </sheetData>
  <mergeCells count="2">
    <mergeCell ref="G44:I44"/>
    <mergeCell ref="A44:C44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06821-2B45-411F-83D5-8F8EF8BFF2D1}">
  <sheetPr/>
  <sheetViews>
    <sheetView workbookViewId="0">
      <selection activeCell="D2" sqref="D2"/>
    </sheetView>
  </sheetViews>
  <sheetFormatPr defaultRowHeight="12.75"/>
  <cols>
    <col min="1" max="1" width="25.5703125" customWidth="1"/>
    <col min="2" max="2" width="15.42578125" customWidth="1"/>
    <col min="3" max="3" width="14.42578125" customWidth="1"/>
    <col min="4" max="4" width="10.42578125" customWidth="1"/>
    <col min="5" max="5" width="11.42578125" customWidth="1"/>
  </cols>
  <sheetData>
    <row r="1" spans="1:5" ht="18">
      <c r="A1" t="s" s="629">
        <v>397</v>
      </c>
      <c r="B1" t="s" s="630">
        <v>398</v>
      </c>
      <c r="C1" t="s" s="228">
        <v>21</v>
      </c>
    </row>
    <row r="2" spans="1:5" ht="15">
      <c r="A2" t="s" s="631">
        <v>399</v>
      </c>
      <c r="B2" s="632">
        <v>1709228</v>
      </c>
      <c r="C2" s="227">
        <f>SUM(B2/D2)</f>
      </c>
      <c r="D2" s="108">
        <f>'Traffic source'!$B$19</f>
      </c>
      <c r="E2" s="108"/>
    </row>
    <row r="3" spans="1:5" ht="15">
      <c r="A3" t="s" s="633">
        <v>400</v>
      </c>
      <c r="B3" s="634">
        <v>196054</v>
      </c>
      <c r="C3" s="227">
        <f t="shared" ref="C3:C8" si="0">SUM(B3/D3)</f>
      </c>
      <c r="D3" s="108">
        <f>'Traffic source'!$B$19</f>
      </c>
      <c r="E3" s="108"/>
    </row>
    <row r="4" spans="1:5" ht="15">
      <c r="A4" t="s" s="635">
        <v>401</v>
      </c>
      <c r="B4" s="636">
        <v>141059</v>
      </c>
      <c r="C4" s="227">
        <f t="shared" si="0"/>
      </c>
      <c r="D4" s="108">
        <f>'Traffic source'!$B$19</f>
      </c>
      <c r="E4" s="108"/>
    </row>
    <row r="5" spans="1:5" ht="15">
      <c r="A5" t="s" s="637">
        <v>402</v>
      </c>
      <c r="B5" s="638">
        <v>137720</v>
      </c>
      <c r="C5" s="227">
        <f t="shared" si="0"/>
      </c>
      <c r="D5" s="108">
        <f>'Traffic source'!$B$19</f>
      </c>
      <c r="E5" s="108"/>
    </row>
    <row r="6" spans="1:5" ht="15">
      <c r="A6" t="s" s="639">
        <v>403</v>
      </c>
      <c r="B6" s="640">
        <v>68068</v>
      </c>
      <c r="C6" s="227">
        <f t="shared" si="0"/>
      </c>
      <c r="D6" s="108">
        <f>'Traffic source'!$B$19</f>
      </c>
      <c r="E6" s="108"/>
    </row>
    <row r="7" spans="1:5" ht="15">
      <c r="A7" t="s" s="641">
        <v>404</v>
      </c>
      <c r="B7" s="642">
        <v>34165</v>
      </c>
      <c r="C7" s="227">
        <f t="shared" si="0"/>
      </c>
      <c r="D7" s="108">
        <f>'Traffic source'!$B$19</f>
      </c>
      <c r="E7" s="108"/>
    </row>
    <row r="8" spans="1:5" ht="15">
      <c r="A8" t="s" s="643">
        <v>405</v>
      </c>
      <c r="B8" s="644">
        <v>17110</v>
      </c>
      <c r="C8" s="227">
        <f t="shared" si="0"/>
      </c>
      <c r="D8" s="108">
        <f>'Traffic source'!$B$19</f>
      </c>
      <c r="E8" s="108"/>
    </row>
    <row r="9" spans="1:5" ht="15">
      <c r="A9" t="s" s="325">
        <v>437</v>
      </c>
      <c r="B9" s="326">
        <v>58</v>
      </c>
      <c r="E9" s="108"/>
    </row>
    <row r="30" spans="1:3" ht="18">
      <c r="A30" t="s" s="645">
        <v>406</v>
      </c>
      <c r="B30" t="s" s="646">
        <v>398</v>
      </c>
      <c r="C30" t="s" s="228">
        <v>21</v>
      </c>
    </row>
    <row r="31" spans="1:3" ht="15">
      <c r="A31" t="s" s="647">
        <v>399</v>
      </c>
      <c r="B31" s="648">
        <v>1640292</v>
      </c>
      <c r="C31" s="229">
        <f>SUM(B31/D6)</f>
      </c>
    </row>
    <row r="32" spans="1:3" ht="15">
      <c r="A32" t="s" s="649">
        <v>407</v>
      </c>
      <c r="B32" s="650">
        <v>552487</v>
      </c>
      <c r="C32" s="229">
        <f>SUM(B32/D7)</f>
      </c>
    </row>
    <row r="33" spans="1:3" ht="15">
      <c r="A33" t="s" s="651">
        <v>408</v>
      </c>
      <c r="B33" s="652">
        <v>104914</v>
      </c>
      <c r="C33" s="229">
        <f>B33/D3</f>
      </c>
    </row>
    <row r="34" spans="1:3" ht="15">
      <c r="A34" t="s" s="327">
        <v>437</v>
      </c>
      <c r="B34" s="328">
        <v>58</v>
      </c>
    </row>
    <row r="47" spans="1:3" ht="28.5" customHeight="1"/>
    <row r="48" spans="1:3" ht="28.5" customHeight="1"/>
    <row r="49" spans="2:2" ht="28.5" customHeight="1"/>
    <row r="50" spans="2:2" ht="27" customHeight="1"/>
    <row r="51" spans="2:2" ht="15">
      <c r="B51" s="107"/>
    </row>
  </sheetData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/>
  <sheetViews>
    <sheetView workbookViewId="0">
      <selection activeCell="A2" sqref="A2:D11"/>
    </sheetView>
  </sheetViews>
  <sheetFormatPr defaultRowHeight="12.75"/>
  <cols>
    <col min="1" max="1" width="27.7109375" bestFit="1" customWidth="1"/>
    <col min="2" max="2" width="15.140625" bestFit="1" customWidth="1"/>
    <col min="3" max="3" width="16.140625" bestFit="1" customWidth="1"/>
    <col min="4" max="4" width="16.7109375" bestFit="1" customWidth="1"/>
    <col min="6" max="6" width="16.7109375" bestFit="1" customWidth="1"/>
  </cols>
  <sheetData>
    <row r="1" spans="1:7">
      <c r="A1" s="232"/>
      <c r="B1" t="s" s="232">
        <v>64</v>
      </c>
      <c r="C1" t="s" s="192">
        <v>21</v>
      </c>
      <c r="D1" t="s" s="232">
        <v>93</v>
      </c>
    </row>
    <row r="2" spans="1:7" ht="15">
      <c r="A2" t="s" s="501">
        <v>315</v>
      </c>
      <c r="B2" s="362">
        <v>1451672</v>
      </c>
      <c r="C2" s="363">
        <f t="shared" ref="C2:C12" si="0">B2/$B$16</f>
      </c>
      <c r="D2" s="362">
        <v>971095</v>
      </c>
      <c r="G2" s="2"/>
    </row>
    <row r="3" spans="1:7" ht="15">
      <c r="A3" t="s" s="501">
        <v>317</v>
      </c>
      <c r="B3" s="362">
        <v>334516</v>
      </c>
      <c r="C3" s="363">
        <f t="shared" si="0"/>
      </c>
      <c r="D3" s="362">
        <v>216514</v>
      </c>
      <c r="G3" s="2"/>
    </row>
    <row r="4" spans="1:7" ht="15">
      <c r="A4" t="s" s="501">
        <v>316</v>
      </c>
      <c r="B4" s="362">
        <v>207751</v>
      </c>
      <c r="C4" s="363">
        <f t="shared" si="0"/>
      </c>
      <c r="D4" s="362">
        <v>199340</v>
      </c>
      <c r="G4" s="2"/>
    </row>
    <row r="5" spans="1:7" ht="15">
      <c r="A5" t="s" s="501">
        <v>318</v>
      </c>
      <c r="B5" s="362">
        <v>181696</v>
      </c>
      <c r="C5" s="363">
        <f t="shared" si="0"/>
      </c>
      <c r="D5" s="362">
        <v>172203</v>
      </c>
      <c r="G5" s="2"/>
    </row>
    <row r="6" spans="1:7" ht="15">
      <c r="A6" t="s" s="501">
        <v>319</v>
      </c>
      <c r="B6" s="362">
        <v>76287</v>
      </c>
      <c r="C6" s="363">
        <f t="shared" si="0"/>
      </c>
      <c r="D6" s="362">
        <v>50071</v>
      </c>
      <c r="G6" s="2"/>
    </row>
    <row r="7" spans="1:7" ht="15">
      <c r="A7" t="s" s="501">
        <v>320</v>
      </c>
      <c r="B7" s="362">
        <v>41207</v>
      </c>
      <c r="C7" s="363">
        <f t="shared" si="0"/>
      </c>
      <c r="D7" s="362">
        <v>22973</v>
      </c>
      <c r="G7" s="2"/>
    </row>
    <row r="8" spans="1:7" ht="15">
      <c r="A8" t="s" s="501">
        <v>321</v>
      </c>
      <c r="B8" s="362">
        <v>13813</v>
      </c>
      <c r="C8" s="363">
        <f t="shared" si="0"/>
      </c>
      <c r="D8" s="362">
        <v>9341</v>
      </c>
      <c r="G8" s="2"/>
    </row>
    <row r="9" spans="1:7" ht="15">
      <c r="A9" t="s" s="501">
        <v>322</v>
      </c>
      <c r="B9" s="362">
        <v>9083</v>
      </c>
      <c r="C9" s="363">
        <f t="shared" si="0"/>
      </c>
      <c r="D9" s="362">
        <v>5910</v>
      </c>
      <c r="G9" s="2"/>
    </row>
    <row r="10" spans="1:7" ht="15">
      <c r="A10" t="s" s="501">
        <v>575</v>
      </c>
      <c r="B10" s="348">
        <v>582</v>
      </c>
      <c r="C10" s="363">
        <f t="shared" si="0"/>
      </c>
      <c r="D10" s="364">
        <v>585</v>
      </c>
      <c r="F10" s="1"/>
    </row>
    <row r="11" spans="1:7" ht="14.25">
      <c r="A11" t="s" s="194">
        <v>324</v>
      </c>
      <c r="B11" s="180">
        <v>483</v>
      </c>
      <c r="C11" s="229">
        <f t="shared" si="0"/>
      </c>
      <c r="D11" s="142">
        <v>430</v>
      </c>
      <c r="F11" s="1"/>
    </row>
    <row r="12" spans="1:7" ht="14.25">
      <c r="A12" t="s" s="194">
        <v>335</v>
      </c>
      <c r="B12" s="180">
        <v>464</v>
      </c>
      <c r="C12" s="229">
        <f t="shared" si="0"/>
      </c>
      <c r="D12" s="142">
        <v>452</v>
      </c>
      <c r="F12" s="1"/>
    </row>
    <row r="13" spans="1:7" ht="14.25">
      <c r="A13" t="s" s="132">
        <v>333</v>
      </c>
      <c r="B13">
        <v>148</v>
      </c>
      <c r="C13" s="4"/>
      <c r="D13" s="99">
        <v>148</v>
      </c>
      <c r="F13" s="1"/>
    </row>
    <row r="14" spans="1:7" ht="14.25">
      <c r="A14" t="s" s="132">
        <v>439</v>
      </c>
      <c r="B14">
        <v>96</v>
      </c>
      <c r="C14" s="4"/>
      <c r="D14" s="99">
        <v>92</v>
      </c>
      <c r="F14" s="1"/>
    </row>
    <row r="15" spans="1:7" ht="14.25">
      <c r="A15" t="s" s="132">
        <v>334</v>
      </c>
      <c r="B15">
        <v>42</v>
      </c>
      <c r="C15" s="4"/>
      <c r="D15" s="99">
        <v>35</v>
      </c>
      <c r="F15" s="1"/>
    </row>
    <row r="16" spans="1:7" ht="14.25">
      <c r="A16" t="s" s="231">
        <v>336</v>
      </c>
      <c r="B16" s="230">
        <f>'Traffic source'!B19</f>
      </c>
      <c r="C16" s="4"/>
      <c r="D16" s="99"/>
      <c r="F16" s="1"/>
    </row>
    <row r="17" spans="4:6" ht="14.25">
      <c r="D17" s="99"/>
      <c r="F17" s="1"/>
    </row>
    <row r="18" spans="4:6">
      <c r="D18" s="1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/>
  <sheetViews>
    <sheetView workbookViewId="0">
      <selection activeCell="A2" sqref="A2:D11"/>
    </sheetView>
  </sheetViews>
  <sheetFormatPr defaultRowHeight="12.75"/>
  <cols>
    <col min="1" max="1" width="17.85546875" customWidth="1"/>
    <col min="2" max="2" width="13" style="181" customWidth="1"/>
    <col min="3" max="3" width="10.7109375" style="235" bestFit="1" customWidth="1"/>
    <col min="4" max="4" width="16.7109375" style="181" bestFit="1" customWidth="1"/>
    <col min="5" max="5" width="16.28515625" customWidth="1"/>
    <col min="6" max="6" width="11.85546875" bestFit="1" customWidth="1"/>
  </cols>
  <sheetData>
    <row r="1" spans="1:7" ht="15.75">
      <c r="A1" s="365"/>
      <c r="B1" t="s" s="366">
        <v>64</v>
      </c>
      <c r="C1" t="s" s="367">
        <v>21</v>
      </c>
      <c r="D1" t="s" s="366">
        <v>93</v>
      </c>
    </row>
    <row r="2" spans="1:7" ht="15">
      <c r="A2" t="s" s="346">
        <v>325</v>
      </c>
      <c r="B2" s="349">
        <v>1417479</v>
      </c>
      <c r="C2" s="363">
        <f t="shared" ref="C2:C12" si="0">B2/$B$16</f>
      </c>
      <c r="D2" s="349">
        <v>1030271</v>
      </c>
    </row>
    <row r="3" spans="1:7" ht="15">
      <c r="A3" t="s" s="346">
        <v>326</v>
      </c>
      <c r="B3" s="349">
        <v>575966</v>
      </c>
      <c r="C3" s="363">
        <f t="shared" si="0"/>
      </c>
      <c r="D3" s="349">
        <v>430533</v>
      </c>
    </row>
    <row r="4" spans="1:7" ht="15">
      <c r="A4" t="s" s="346">
        <v>327</v>
      </c>
      <c r="B4" s="349">
        <v>235391</v>
      </c>
      <c r="C4" s="363">
        <f t="shared" si="0"/>
      </c>
      <c r="D4" s="349">
        <v>138870</v>
      </c>
    </row>
    <row r="5" spans="1:7" ht="15">
      <c r="A5" t="s" s="346">
        <v>328</v>
      </c>
      <c r="B5" s="349">
        <v>65065</v>
      </c>
      <c r="C5" s="363">
        <f t="shared" si="0"/>
      </c>
      <c r="D5" s="349">
        <v>31241</v>
      </c>
    </row>
    <row r="6" spans="1:7" ht="15">
      <c r="A6" t="s" s="346">
        <v>329</v>
      </c>
      <c r="B6" s="349">
        <v>29540</v>
      </c>
      <c r="C6" s="363">
        <f t="shared" si="0"/>
      </c>
      <c r="D6" s="349">
        <v>18120</v>
      </c>
    </row>
    <row r="7" spans="1:7" ht="15">
      <c r="A7" t="s" s="346">
        <v>330</v>
      </c>
      <c r="B7" s="349">
        <v>931</v>
      </c>
      <c r="C7" s="363">
        <f t="shared" si="0"/>
      </c>
      <c r="D7" s="349">
        <v>649</v>
      </c>
    </row>
    <row r="8" spans="1:7" ht="15">
      <c r="A8" t="s" s="346">
        <v>331</v>
      </c>
      <c r="B8" s="349">
        <v>49</v>
      </c>
      <c r="C8" s="363">
        <f t="shared" si="0"/>
      </c>
      <c r="D8" s="349">
        <v>39</v>
      </c>
    </row>
    <row r="9" spans="1:7" ht="15">
      <c r="A9" t="s" s="346">
        <v>332</v>
      </c>
      <c r="B9" s="349">
        <v>14</v>
      </c>
      <c r="C9" s="363">
        <f t="shared" si="0"/>
      </c>
      <c r="D9" s="349">
        <v>14</v>
      </c>
    </row>
    <row r="10" spans="1:7" ht="15">
      <c r="A10" t="s" s="346">
        <v>576</v>
      </c>
      <c r="B10" s="349">
        <v>4</v>
      </c>
      <c r="C10" s="363">
        <f t="shared" si="0"/>
      </c>
      <c r="D10" s="349">
        <v>4</v>
      </c>
    </row>
    <row r="11" spans="1:7" ht="15">
      <c r="A11" t="s" s="346">
        <v>473</v>
      </c>
      <c r="B11" s="349">
        <v>2</v>
      </c>
      <c r="C11" s="363">
        <f t="shared" si="0"/>
      </c>
      <c r="D11" s="349">
        <v>2</v>
      </c>
    </row>
    <row r="12" spans="1:7" ht="15">
      <c r="A12" t="s" s="346">
        <v>577</v>
      </c>
      <c r="B12" s="349">
        <v>2</v>
      </c>
      <c r="C12" s="363">
        <f t="shared" si="0"/>
      </c>
      <c r="D12" s="349">
        <v>2</v>
      </c>
      <c r="E12" s="2"/>
      <c r="G12" s="4"/>
    </row>
    <row r="13" spans="1:7" ht="15">
      <c r="A13" t="s" s="355">
        <v>474</v>
      </c>
      <c r="B13" s="368">
        <v>1</v>
      </c>
      <c r="C13" s="369"/>
      <c r="D13" s="368">
        <v>1</v>
      </c>
      <c r="E13" s="2"/>
      <c r="G13" s="4"/>
    </row>
    <row r="14" spans="1:7" ht="15">
      <c r="A14" t="s" s="355">
        <v>443</v>
      </c>
      <c r="B14" s="368">
        <v>2</v>
      </c>
      <c r="C14" s="369"/>
      <c r="D14" s="368">
        <v>0</v>
      </c>
      <c r="E14" s="2"/>
      <c r="G14" s="4"/>
    </row>
    <row r="15" spans="1:7">
      <c r="A15" t="s">
        <v>475</v>
      </c>
      <c r="B15" s="181">
        <v>1</v>
      </c>
      <c r="D15" s="181">
        <v>1</v>
      </c>
      <c r="E15" s="2"/>
      <c r="G15" s="4"/>
    </row>
    <row r="16" spans="1:7">
      <c r="A16" t="s" s="231">
        <v>336</v>
      </c>
      <c r="B16" s="234">
        <f>'Traffic source'!B19</f>
      </c>
      <c r="E16" s="2"/>
      <c r="G16" s="4"/>
    </row>
    <row r="17" spans="4:7">
      <c r="E17" s="2"/>
      <c r="G17" s="4"/>
    </row>
    <row r="18" spans="4:7">
      <c r="E18" s="2"/>
      <c r="G18" s="4"/>
    </row>
    <row r="19" spans="4:7">
      <c r="E19" s="2"/>
      <c r="G19" s="4"/>
    </row>
    <row r="20" spans="4:7">
      <c r="E20" s="2"/>
      <c r="G20" s="4"/>
    </row>
    <row r="21" spans="4:7">
      <c r="E21" s="2"/>
      <c r="G21" s="4"/>
    </row>
    <row r="22" spans="4:7" ht="14.25">
      <c r="D22" s="233"/>
      <c r="F22" s="40"/>
    </row>
    <row r="23" spans="4:7" ht="14.25">
      <c r="D23" s="233"/>
    </row>
    <row r="24" spans="4:7" ht="14.25">
      <c r="D24" s="233"/>
    </row>
    <row r="25" spans="4:7" ht="14.25">
      <c r="D25" s="233"/>
    </row>
    <row r="26" spans="4:7" ht="14.25">
      <c r="D26" s="233"/>
    </row>
    <row r="27" spans="4:7" ht="14.25">
      <c r="D27" s="233"/>
    </row>
    <row r="28" spans="4:7" ht="14.25">
      <c r="D28" s="233"/>
    </row>
    <row r="29" spans="4:7" ht="14.25">
      <c r="D29" s="233"/>
    </row>
    <row r="30" spans="4:7" ht="14.25">
      <c r="D30" s="233"/>
    </row>
    <row r="31" spans="4:7" ht="14.25">
      <c r="D31" s="23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4D9FF-E2A9-485C-B6CF-29901A002CCF}">
  <sheetPr/>
  <sheetViews>
    <sheetView workbookViewId="0">
      <selection activeCell="F19" sqref="F19"/>
    </sheetView>
  </sheetViews>
  <sheetFormatPr defaultRowHeight="18"/>
  <cols>
    <col min="1" max="1" width="52.28515625" style="240" customWidth="1"/>
    <col min="2" max="2" width="23.5703125" style="278" customWidth="1"/>
    <col min="3" max="3" width="24.140625" style="240" customWidth="1"/>
    <col min="4" max="4" width="23.5703125" style="278" customWidth="1"/>
    <col min="5" max="5" width="19.7109375" style="240" customWidth="1"/>
    <col min="6" max="6" width="9.140625" style="273"/>
    <col min="7" max="16384" width="9.140625" style="240"/>
  </cols>
  <sheetData>
    <row r="1" spans="1:8">
      <c r="A1" t="s" s="268">
        <v>337</v>
      </c>
      <c r="B1" t="s" s="271">
        <v>278</v>
      </c>
      <c r="C1" t="s" s="268">
        <v>338</v>
      </c>
      <c r="D1" t="s" s="271">
        <v>167</v>
      </c>
    </row>
    <row r="2" spans="1:8">
      <c r="A2" t="s" s="269">
        <v>463</v>
      </c>
      <c r="B2" s="272">
        <v>339804</v>
      </c>
      <c r="C2" s="270">
        <v>1.305152381961366</v>
      </c>
      <c r="D2" s="272">
        <v>443496</v>
      </c>
      <c r="E2" s="207"/>
    </row>
    <row r="3" spans="1:8">
      <c r="A3" t="s" s="269">
        <v>411</v>
      </c>
      <c r="B3" s="272">
        <v>315407</v>
      </c>
      <c r="C3" s="270">
        <v>1.4191504944405164</v>
      </c>
      <c r="D3" s="272">
        <v>447610</v>
      </c>
      <c r="E3" s="207"/>
    </row>
    <row r="4" spans="1:8">
      <c r="A4" t="s" s="269">
        <v>67</v>
      </c>
      <c r="B4" s="272">
        <v>304923</v>
      </c>
      <c r="C4" s="270">
        <v>3.380010691223686</v>
      </c>
      <c r="D4" s="272">
        <v>1030643</v>
      </c>
      <c r="E4" s="207"/>
    </row>
    <row r="5" spans="1:8">
      <c r="A5" t="s" s="269">
        <v>409</v>
      </c>
      <c r="B5" s="272">
        <v>219055</v>
      </c>
      <c r="C5" s="270">
        <v>1.2568533016822259</v>
      </c>
      <c r="D5" s="272">
        <v>275320</v>
      </c>
      <c r="E5" s="207"/>
    </row>
    <row r="6" spans="1:8">
      <c r="A6" t="s" s="269">
        <v>462</v>
      </c>
      <c r="B6" s="272">
        <v>193863</v>
      </c>
      <c r="C6" s="270">
        <v>1.2266239560927046</v>
      </c>
      <c r="D6" s="272">
        <v>237797</v>
      </c>
      <c r="E6" s="207"/>
    </row>
    <row r="7" spans="1:8" ht="18.75">
      <c r="A7" t="s" s="269">
        <v>135</v>
      </c>
      <c r="B7" s="272">
        <v>98202</v>
      </c>
      <c r="C7" s="270">
        <v>1.790686544062239</v>
      </c>
      <c r="D7" s="272">
        <v>175849</v>
      </c>
      <c r="E7" t="s" s="274">
        <v>339</v>
      </c>
      <c r="G7" s="275"/>
      <c r="H7" s="275"/>
    </row>
    <row r="8" spans="1:8" ht="18.75">
      <c r="A8" t="s" s="269">
        <v>410</v>
      </c>
      <c r="B8" s="272">
        <v>67267</v>
      </c>
      <c r="C8" s="270">
        <v>1.4307758633505285</v>
      </c>
      <c r="D8" s="272">
        <v>96244</v>
      </c>
      <c r="E8" s="207"/>
      <c r="F8" s="275"/>
      <c r="G8" s="275"/>
      <c r="H8" s="275"/>
    </row>
    <row r="9" spans="1:8">
      <c r="A9" t="s" s="269">
        <v>237</v>
      </c>
      <c r="B9" s="272">
        <v>65507</v>
      </c>
      <c r="C9" s="270">
        <v>1.27972583082724</v>
      </c>
      <c r="D9" s="272">
        <v>83831</v>
      </c>
      <c r="E9" s="207"/>
    </row>
    <row r="10" spans="1:8">
      <c r="A10" t="s" s="269">
        <v>515</v>
      </c>
      <c r="B10" s="272">
        <v>64809</v>
      </c>
      <c r="C10" s="270">
        <v>1.150920396858461</v>
      </c>
      <c r="D10" s="272">
        <v>74590</v>
      </c>
      <c r="E10" s="207"/>
    </row>
    <row r="11" spans="1:8">
      <c r="A11" t="s" s="269">
        <v>464</v>
      </c>
      <c r="B11" s="272">
        <v>64051</v>
      </c>
      <c r="C11" s="270">
        <v>1.0940344413045855</v>
      </c>
      <c r="D11" s="272">
        <v>70074</v>
      </c>
      <c r="E11" s="207"/>
    </row>
    <row r="12" spans="1:8">
      <c r="A12" t="s" s="269">
        <v>413</v>
      </c>
      <c r="B12" s="272">
        <v>63762</v>
      </c>
      <c r="C12" s="270">
        <v>2.3007747561243375</v>
      </c>
      <c r="D12" s="272">
        <v>146702</v>
      </c>
      <c r="E12" s="207"/>
    </row>
    <row r="13" spans="1:8">
      <c r="A13" t="s" s="269">
        <v>323</v>
      </c>
      <c r="B13" s="272">
        <v>53505</v>
      </c>
      <c r="C13" s="270">
        <v>0.00007475936828333801</v>
      </c>
      <c r="D13" s="272">
        <v>4</v>
      </c>
      <c r="E13" s="207"/>
    </row>
    <row r="14" spans="1:8">
      <c r="A14" t="s" s="207">
        <v>412</v>
      </c>
      <c r="B14" s="276">
        <v>50049</v>
      </c>
      <c r="C14" s="280">
        <v>1.8337429319267118</v>
      </c>
      <c r="D14" s="277">
        <v>91777</v>
      </c>
      <c r="E14" s="207"/>
    </row>
    <row r="15" spans="1:8">
      <c r="A15" t="s" s="240">
        <v>514</v>
      </c>
      <c r="B15" s="278">
        <v>39414</v>
      </c>
      <c r="C15" s="280">
        <v>1.880093367838839</v>
      </c>
      <c r="D15" s="277">
        <v>74102</v>
      </c>
      <c r="E15" s="207"/>
    </row>
    <row r="16" spans="1:8">
      <c r="A16" t="s" s="240">
        <v>516</v>
      </c>
      <c r="B16" s="278">
        <v>30203</v>
      </c>
      <c r="C16" s="280">
        <v>2.252193490712843</v>
      </c>
      <c r="D16" s="278">
        <v>68023</v>
      </c>
    </row>
    <row r="17" spans="1:5">
      <c r="C17" s="280"/>
    </row>
    <row r="18" spans="1:5">
      <c r="A18" s="221"/>
      <c r="B18" s="279"/>
      <c r="C18" s="270"/>
      <c r="D18" s="279"/>
    </row>
    <row r="19" spans="1:5">
      <c r="A19" s="221"/>
      <c r="B19" s="279"/>
      <c r="C19" s="270"/>
      <c r="D19" s="279"/>
    </row>
    <row r="20" spans="1:5">
      <c r="A20" t="s" s="221">
        <v>409</v>
      </c>
      <c r="B20" s="279">
        <v>393139</v>
      </c>
      <c r="C20" s="270">
        <v>1.2029918171435547</v>
      </c>
      <c r="D20" s="279">
        <v>472943</v>
      </c>
    </row>
    <row r="21" spans="1:5">
      <c r="A21" t="s" s="221">
        <v>411</v>
      </c>
      <c r="B21" s="279">
        <v>279009</v>
      </c>
      <c r="C21" s="270">
        <v>1.3783247135397065</v>
      </c>
      <c r="D21" s="279">
        <v>384565</v>
      </c>
    </row>
    <row r="22" spans="1:5">
      <c r="A22" t="s" s="221">
        <v>463</v>
      </c>
      <c r="B22" s="279">
        <v>275241</v>
      </c>
      <c r="C22" s="270">
        <v>1.2569820629920687</v>
      </c>
      <c r="D22" s="279">
        <v>345973</v>
      </c>
    </row>
    <row r="23" spans="1:5" ht="18.75">
      <c r="A23" t="s" s="221">
        <v>67</v>
      </c>
      <c r="B23" s="279">
        <v>218232</v>
      </c>
      <c r="C23" s="270">
        <v>3.094152095018146</v>
      </c>
      <c r="D23" s="279">
        <v>675243</v>
      </c>
      <c r="E23" t="s" s="274">
        <v>340</v>
      </c>
    </row>
    <row r="24" spans="1:5">
      <c r="A24" t="s" s="221">
        <v>409</v>
      </c>
      <c r="B24" s="279">
        <v>205935</v>
      </c>
      <c r="C24" s="270">
        <v>1.2573190569839998</v>
      </c>
      <c r="D24" s="279">
        <v>258926</v>
      </c>
    </row>
    <row r="25" spans="1:5">
      <c r="A25" t="s" s="221">
        <v>462</v>
      </c>
      <c r="B25" s="279">
        <v>189121</v>
      </c>
      <c r="C25" s="270">
        <v>1.2160468694645228</v>
      </c>
      <c r="D25" s="279">
        <v>229980</v>
      </c>
    </row>
    <row r="26" spans="1:5">
      <c r="A26" t="s" s="221">
        <v>135</v>
      </c>
      <c r="B26" s="279">
        <v>87553</v>
      </c>
      <c r="C26" s="270">
        <v>1.6849222756501776</v>
      </c>
      <c r="D26" s="279">
        <v>147520</v>
      </c>
    </row>
    <row r="27" spans="1:5">
      <c r="A27" t="s" s="221">
        <v>237</v>
      </c>
      <c r="B27" s="279">
        <v>64747</v>
      </c>
      <c r="C27" s="270">
        <v>1.2722751633280307</v>
      </c>
      <c r="D27" s="279">
        <v>82376</v>
      </c>
    </row>
    <row r="28" spans="1:5">
      <c r="A28" t="s" s="221">
        <v>464</v>
      </c>
      <c r="B28" s="279">
        <v>63800</v>
      </c>
      <c r="C28" s="270">
        <v>1.0896394984326019</v>
      </c>
      <c r="D28" s="279">
        <v>69519</v>
      </c>
    </row>
    <row r="29" spans="1:5">
      <c r="A29" t="s" s="221">
        <v>515</v>
      </c>
      <c r="B29" s="279">
        <v>63349</v>
      </c>
      <c r="C29" s="270">
        <v>1.138644651060001</v>
      </c>
      <c r="D29" s="279">
        <v>72132</v>
      </c>
    </row>
    <row r="30" spans="1:5">
      <c r="A30" t="s" s="221">
        <v>410</v>
      </c>
      <c r="B30" s="279">
        <v>58060</v>
      </c>
      <c r="C30" s="270">
        <v>1.3537030657940061</v>
      </c>
      <c r="D30" s="279">
        <v>78596</v>
      </c>
    </row>
    <row r="31" spans="1:5">
      <c r="A31" t="s" s="221">
        <v>413</v>
      </c>
      <c r="B31" s="279">
        <v>46107</v>
      </c>
      <c r="C31" s="270">
        <v>2.004142538009413</v>
      </c>
      <c r="D31" s="279">
        <v>92405</v>
      </c>
    </row>
    <row r="32" spans="1:5">
      <c r="A32" t="s" s="240">
        <v>412</v>
      </c>
      <c r="B32" s="278">
        <v>39789</v>
      </c>
      <c r="C32" s="240">
        <v>1.7398024579657694</v>
      </c>
      <c r="D32" s="278">
        <v>69225</v>
      </c>
    </row>
    <row r="33" spans="1:4">
      <c r="A33" t="s" s="240">
        <v>514</v>
      </c>
      <c r="B33" s="278">
        <v>33862</v>
      </c>
      <c r="C33" s="240">
        <v>1.7981217884354144</v>
      </c>
      <c r="D33" s="278">
        <v>60888</v>
      </c>
    </row>
    <row r="34" spans="1:4">
      <c r="A34" t="s" s="240">
        <v>323</v>
      </c>
      <c r="B34" s="278">
        <v>22950</v>
      </c>
      <c r="C34" s="240">
        <v>0.00008714596949891067</v>
      </c>
      <c r="D34" s="278">
        <v>2</v>
      </c>
    </row>
    <row r="35">
      <c r="A35" t="s" s="240">
        <v>618</v>
      </c>
      <c r="B35" s="278">
        <v>22528</v>
      </c>
      <c r="C35" s="240">
        <v>1.5021750710227273</v>
      </c>
      <c r="D35" s="278">
        <v>33841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BCA0D-C090-40D0-8CE0-31F631AC0379}">
  <sheetPr/>
  <sheetViews>
    <sheetView topLeftCell="A28" zoomScale="115" zoomScaleNormal="115" workbookViewId="0">
      <selection activeCell="L37" sqref="L37"/>
    </sheetView>
  </sheetViews>
  <sheetFormatPr defaultRowHeight="12.75"/>
  <cols>
    <col min="1" max="1" width="8.28515625" bestFit="1" customWidth="1"/>
    <col min="2" max="2" width="26.7109375" customWidth="1"/>
    <col min="3" max="3" width="15" style="38" customWidth="1"/>
    <col min="4" max="4" width="17.5703125" customWidth="1"/>
    <col min="5" max="5" width="18.28515625" customWidth="1"/>
    <col min="6" max="6" width="19.140625" customWidth="1"/>
    <col min="7" max="7" width="20" customWidth="1"/>
    <col min="8" max="8" width="17.42578125" customWidth="1"/>
    <col min="9" max="9" width="24.140625" style="184" customWidth="1"/>
  </cols>
  <sheetData>
    <row r="1" spans="1:14" ht="43.5" customHeight="1" thickBot="1">
      <c r="A1" t="s" s="300">
        <v>198</v>
      </c>
      <c r="B1" t="s" s="300">
        <v>199</v>
      </c>
      <c r="C1" t="s" s="300">
        <v>200</v>
      </c>
      <c r="D1" t="s" s="300">
        <v>201</v>
      </c>
      <c r="E1" t="s" s="300">
        <v>202</v>
      </c>
      <c r="F1" t="s" s="300">
        <v>203</v>
      </c>
      <c r="G1" t="s" s="300">
        <v>341</v>
      </c>
      <c r="H1" t="s" s="300">
        <v>205</v>
      </c>
      <c r="I1" t="s" s="319">
        <v>342</v>
      </c>
    </row>
    <row r="2" spans="1:14" ht="21" customHeight="1" thickTop="1" thickBot="1">
      <c r="A2" s="281">
        <v>1</v>
      </c>
      <c r="B2" t="s" s="301">
        <v>343</v>
      </c>
      <c r="C2" s="282">
        <v>6.15</v>
      </c>
      <c r="D2" s="283">
        <v>0.5507</v>
      </c>
      <c r="E2" s="284">
        <v>0.0016319444444444445</v>
      </c>
      <c r="F2" s="285">
        <f>'Site - Month Graph'!D35</f>
      </c>
      <c r="G2" s="286">
        <f>F2/330</f>
      </c>
      <c r="H2" s="285">
        <v>1772011</v>
      </c>
      <c r="I2" s="320">
        <f>H2/31</f>
      </c>
    </row>
    <row r="3" spans="1:14" ht="22.5" customHeight="1" thickBot="1">
      <c r="A3" s="287">
        <v>2</v>
      </c>
      <c r="B3" t="s" s="297">
        <v>344</v>
      </c>
      <c r="C3" s="288">
        <v>6.2</v>
      </c>
      <c r="D3" s="289">
        <v>0.152102265842724</v>
      </c>
      <c r="E3" t="s" s="290">
        <v>526</v>
      </c>
      <c r="F3" s="291">
        <v>430102</v>
      </c>
      <c r="G3" s="291">
        <v>14336.7333333333</v>
      </c>
      <c r="H3" s="291">
        <v>260116</v>
      </c>
      <c r="I3" s="318">
        <v>8670.533333333333</v>
      </c>
    </row>
    <row r="4" spans="1:14" ht="22.5" customHeight="1" thickBot="1">
      <c r="A4" s="292">
        <v>3</v>
      </c>
      <c r="B4" t="s" s="299">
        <v>345</v>
      </c>
      <c r="C4" s="293">
        <v>6.45</v>
      </c>
      <c r="D4" s="294">
        <f>AVERAGE(D5:D16)</f>
      </c>
      <c r="E4" s="295">
        <f>AVERAGE(E5:E16)</f>
      </c>
      <c r="F4" s="303">
        <f>AVERAGE(F5:F16)</f>
      </c>
      <c r="G4" s="303">
        <f t="shared" ref="G4:I4" si="0">AVERAGE(G5:G16)</f>
      </c>
      <c r="H4" s="303">
        <f t="shared" si="0"/>
      </c>
      <c r="I4" s="303">
        <f t="shared" si="0"/>
      </c>
    </row>
    <row r="5" spans="1:14" ht="26.25" customHeight="1" thickBot="1">
      <c r="A5" s="287">
        <v>3.1</v>
      </c>
      <c r="B5" t="s" s="297">
        <v>346</v>
      </c>
      <c r="C5" s="502">
        <v>5.4</v>
      </c>
      <c r="D5" s="513">
        <v>0.70074483798988</v>
      </c>
      <c r="E5" s="514">
        <v>0.0006944444444444445</v>
      </c>
      <c r="F5" s="515">
        <v>374831</v>
      </c>
      <c r="G5" s="515">
        <v>12494.366666666667</v>
      </c>
      <c r="H5" s="515">
        <v>235224</v>
      </c>
      <c r="I5" s="516">
        <v>7840.8</v>
      </c>
      <c r="J5" s="503"/>
    </row>
    <row r="6" spans="1:14" ht="24" customHeight="1" thickBot="1">
      <c r="A6" s="292">
        <v>3.2</v>
      </c>
      <c r="B6" t="s" s="299">
        <v>347</v>
      </c>
      <c r="C6" s="517">
        <v>5.9</v>
      </c>
      <c r="D6" s="518">
        <v>0.195826298886759</v>
      </c>
      <c r="E6" s="519">
        <v>0.001365740740740741</v>
      </c>
      <c r="F6" s="520">
        <v>94945</v>
      </c>
      <c r="G6" s="520">
        <v>3164.8333333333335</v>
      </c>
      <c r="H6" s="520">
        <v>63548</v>
      </c>
      <c r="I6" s="521">
        <v>2118.266666666667</v>
      </c>
    </row>
    <row r="7" spans="1:14" ht="21" customHeight="1" thickBot="1">
      <c r="A7" s="287">
        <v>3.3</v>
      </c>
      <c r="B7" t="s" s="297">
        <v>348</v>
      </c>
      <c r="C7" s="288">
        <v>5.3</v>
      </c>
      <c r="D7" s="513">
        <v>0.15771681906345247</v>
      </c>
      <c r="E7" s="514">
        <v>0.0010069444444444444</v>
      </c>
      <c r="F7" s="515">
        <v>42017</v>
      </c>
      <c r="G7" s="515">
        <v>1400.5666666666666</v>
      </c>
      <c r="H7" s="515">
        <v>30606</v>
      </c>
      <c r="I7" s="516">
        <v>1020.2</v>
      </c>
    </row>
    <row r="8" spans="1:14" ht="21" customHeight="1" thickBot="1">
      <c r="A8" s="292">
        <v>3.4</v>
      </c>
      <c r="B8" t="s" s="299">
        <v>349</v>
      </c>
      <c r="C8" s="293">
        <v>4.5</v>
      </c>
      <c r="D8" s="522">
        <v>0.32916199799492835</v>
      </c>
      <c r="E8" s="523">
        <v>0.0012037037037037038</v>
      </c>
      <c r="F8" s="524">
        <v>101674</v>
      </c>
      <c r="G8" s="524">
        <v>3389.133333333333</v>
      </c>
      <c r="H8" s="524">
        <v>72737</v>
      </c>
      <c r="I8" s="525">
        <v>2424.5666666666666</v>
      </c>
    </row>
    <row r="9" spans="1:14" ht="22.5" customHeight="1" thickBot="1">
      <c r="A9" s="287">
        <v>3.5</v>
      </c>
      <c r="B9" t="s" s="297">
        <v>350</v>
      </c>
      <c r="C9" s="288">
        <v>8.6</v>
      </c>
      <c r="D9" s="513">
        <v>0.203306871864803</v>
      </c>
      <c r="E9" s="514">
        <v>0.0013425925925925925</v>
      </c>
      <c r="F9" s="515">
        <v>49313</v>
      </c>
      <c r="G9" s="515">
        <v>1643.7666666666667</v>
      </c>
      <c r="H9" s="515">
        <v>35118</v>
      </c>
      <c r="I9" s="516">
        <v>1170.6</v>
      </c>
    </row>
    <row r="10" spans="1:14" ht="21" customHeight="1" thickBot="1">
      <c r="A10" s="292">
        <v>3.6</v>
      </c>
      <c r="B10" t="s" s="299">
        <v>351</v>
      </c>
      <c r="C10" s="293">
        <v>7</v>
      </c>
      <c r="D10" s="518">
        <v>0.30230264646007693</v>
      </c>
      <c r="E10" s="519">
        <v>0.0011689814814814816</v>
      </c>
      <c r="F10" s="520">
        <v>130570</v>
      </c>
      <c r="G10" s="520">
        <v>4352.333333333333</v>
      </c>
      <c r="H10" s="520">
        <v>93098</v>
      </c>
      <c r="I10" s="521">
        <v>3103.266666666667</v>
      </c>
    </row>
    <row r="11" spans="1:14" ht="21" customHeight="1" thickBot="1">
      <c r="A11" s="287">
        <v>3.7</v>
      </c>
      <c r="B11" t="s" s="297">
        <v>358</v>
      </c>
      <c r="C11" s="288">
        <v>7.7</v>
      </c>
      <c r="D11" s="513">
        <v>0.14842465753424658</v>
      </c>
      <c r="E11" s="514">
        <v>0.0019444444444444442</v>
      </c>
      <c r="F11" s="515">
        <v>138000</v>
      </c>
      <c r="G11" s="515">
        <v>4600</v>
      </c>
      <c r="H11" s="515">
        <v>91598</v>
      </c>
      <c r="I11" s="516">
        <v>3053.266666666667</v>
      </c>
      <c r="J11" s="182"/>
    </row>
    <row r="12" spans="1:14" ht="21" customHeight="1" thickBot="1">
      <c r="A12" s="292">
        <v>3.8</v>
      </c>
      <c r="B12" t="s" s="299">
        <v>352</v>
      </c>
      <c r="C12" s="293">
        <v>5</v>
      </c>
      <c r="D12" s="526">
        <v>0.2760752913557475</v>
      </c>
      <c r="E12" s="527">
        <v>0.0010532407407407407</v>
      </c>
      <c r="F12" s="528">
        <v>55440</v>
      </c>
      <c r="G12" s="528">
        <v>1848</v>
      </c>
      <c r="H12" s="528">
        <v>40994</v>
      </c>
      <c r="I12" s="529">
        <v>1366.4666666666667</v>
      </c>
    </row>
    <row r="13" spans="1:14" ht="21" customHeight="1" thickTop="1" thickBot="1">
      <c r="A13" s="287">
        <v>3.9</v>
      </c>
      <c r="B13" t="s" s="297">
        <v>353</v>
      </c>
      <c r="C13" s="288">
        <v>7.3</v>
      </c>
      <c r="D13" s="530">
        <v>0.11782897788773775</v>
      </c>
      <c r="E13" s="511">
        <v>0.001990740740740741</v>
      </c>
      <c r="F13" s="508">
        <v>37604</v>
      </c>
      <c r="G13" s="508">
        <v>1253.4666666666667</v>
      </c>
      <c r="H13" s="508">
        <v>27559</v>
      </c>
      <c r="I13" s="531">
        <v>918.6333333333333</v>
      </c>
      <c r="N13" s="512"/>
    </row>
    <row r="14" spans="1:14" ht="19.5" customHeight="1" thickTop="1" thickBot="1">
      <c r="A14" s="292">
        <v>3.1</v>
      </c>
      <c r="B14" t="s" s="299">
        <v>354</v>
      </c>
      <c r="C14" s="505">
        <v>5.7</v>
      </c>
      <c r="D14" s="532">
        <v>0.37973878400041255</v>
      </c>
      <c r="E14" s="533">
        <v>0.001261574074074074</v>
      </c>
      <c r="F14" s="534">
        <v>271593</v>
      </c>
      <c r="G14" s="535">
        <v>9053.1</v>
      </c>
      <c r="H14" s="536">
        <v>189160</v>
      </c>
      <c r="I14" s="535">
        <v>6305.333333333333</v>
      </c>
    </row>
    <row r="15" spans="1:14" ht="16.5" customHeight="1" thickTop="1" thickBot="1">
      <c r="A15" s="287">
        <v>3.11</v>
      </c>
      <c r="B15" t="s" s="297">
        <v>355</v>
      </c>
      <c r="C15" s="504">
        <v>8.6</v>
      </c>
      <c r="D15" s="506">
        <v>0.1469796029759009</v>
      </c>
      <c r="E15" s="507">
        <v>0.0016087962962962963</v>
      </c>
      <c r="F15" s="508">
        <v>107646</v>
      </c>
      <c r="G15" s="509">
        <v>3588.2</v>
      </c>
      <c r="H15" s="509">
        <v>65869</v>
      </c>
      <c r="I15" s="510">
        <v>2195.633333333333</v>
      </c>
      <c r="K15" s="552"/>
    </row>
    <row r="16" spans="1:14" ht="18.75" customHeight="1" thickTop="1" thickBot="1">
      <c r="A16" s="545">
        <v>3.12</v>
      </c>
      <c r="B16" t="s" s="546">
        <v>356</v>
      </c>
      <c r="C16" s="539">
        <v>6.5</v>
      </c>
      <c r="D16" s="540">
        <v>0.6886625720442809</v>
      </c>
      <c r="E16" s="541">
        <v>0.0008101851851851852</v>
      </c>
      <c r="F16" s="542">
        <v>479106</v>
      </c>
      <c r="G16" s="542">
        <v>15970.2</v>
      </c>
      <c r="H16" s="542">
        <v>336304</v>
      </c>
      <c r="I16" s="543">
        <v>11210.133333333333</v>
      </c>
    </row>
    <row r="17" spans="1:19" ht="24.75" customHeight="1" thickTop="1" thickBot="1">
      <c r="A17" s="547">
        <v>4</v>
      </c>
      <c r="B17" t="s" s="548">
        <v>357</v>
      </c>
      <c r="C17" s="544">
        <v>2.4</v>
      </c>
      <c r="D17" s="549">
        <v>0.0674</v>
      </c>
      <c r="E17" s="554">
        <v>0.0007060185185185185</v>
      </c>
      <c r="F17" t="s" s="552">
        <v>585</v>
      </c>
      <c r="G17" s="553">
        <v>246</v>
      </c>
      <c r="H17" t="s" s="551">
        <v>586</v>
      </c>
      <c r="I17" s="550">
        <v>189</v>
      </c>
      <c r="J17" s="132"/>
    </row>
    <row r="18" spans="1:19" ht="13.5" thickTop="1">
      <c r="A18" s="1"/>
      <c r="C18"/>
      <c r="G18" s="28"/>
    </row>
    <row r="19" spans="1:19" ht="13.5" thickBot="1">
      <c r="C19"/>
    </row>
    <row r="20" spans="1:19" ht="13.5" thickBot="1">
      <c r="C20"/>
      <c r="H20" s="291"/>
    </row>
    <row r="21" spans="1:19" ht="14.25" thickTop="1" thickBot="1">
      <c r="C21"/>
      <c r="M21" s="370"/>
      <c r="N21" s="371"/>
      <c r="O21" s="372"/>
      <c r="P21" s="373"/>
      <c r="Q21" s="374"/>
      <c r="R21" s="373"/>
      <c r="S21" s="375"/>
    </row>
    <row r="22" spans="1:19" ht="13.5" thickBot="1">
      <c r="C22"/>
      <c r="M22" s="376"/>
      <c r="N22" s="377"/>
      <c r="O22" s="378"/>
      <c r="P22" s="379"/>
      <c r="Q22" s="379"/>
      <c r="R22" s="379"/>
      <c r="S22" s="380"/>
    </row>
    <row r="23" spans="1:19" ht="13.5" thickBot="1">
      <c r="C23"/>
      <c r="M23" s="376"/>
      <c r="N23" s="381"/>
      <c r="O23" s="382"/>
      <c r="P23" s="380"/>
      <c r="Q23" s="380"/>
      <c r="R23" s="380"/>
      <c r="S23" s="380"/>
    </row>
    <row r="24" spans="1:19">
      <c r="C24"/>
    </row>
    <row r="25" spans="1:19">
      <c r="C25"/>
    </row>
    <row r="26" spans="1:19">
      <c r="C26"/>
    </row>
    <row r="27" spans="1:19">
      <c r="C27"/>
    </row>
    <row r="28" spans="1:19">
      <c r="C28"/>
    </row>
    <row r="29" spans="1:19" ht="13.5" thickBot="1">
      <c r="C29"/>
    </row>
    <row r="30" spans="1:19" ht="32.25" thickBot="1">
      <c r="A30" t="s" s="300">
        <v>198</v>
      </c>
      <c r="B30" t="s" s="300">
        <v>199</v>
      </c>
      <c r="C30" t="s" s="300">
        <v>201</v>
      </c>
      <c r="D30" t="s" s="300">
        <v>202</v>
      </c>
      <c r="E30" t="s" s="300">
        <v>203</v>
      </c>
      <c r="F30" t="s" s="300">
        <v>341</v>
      </c>
      <c r="G30" t="s" s="300">
        <v>205</v>
      </c>
      <c r="H30" t="s" s="305">
        <v>342</v>
      </c>
      <c r="I30" s="321"/>
    </row>
    <row r="31" spans="1:19" ht="23.25" customHeight="1" thickTop="1" thickBot="1">
      <c r="A31" s="281">
        <v>1</v>
      </c>
      <c r="B31" t="s" s="301">
        <v>343</v>
      </c>
      <c r="C31" s="283">
        <v>0.5276</v>
      </c>
      <c r="D31" s="284">
        <v>0.0016666666666666668</v>
      </c>
      <c r="E31" s="285">
        <v>32929122</v>
      </c>
      <c r="F31" s="286">
        <f>E31/244</f>
      </c>
      <c r="G31" s="285">
        <v>13785194</v>
      </c>
      <c r="H31" s="306">
        <f>G31/244</f>
      </c>
      <c r="I31" s="322"/>
    </row>
    <row r="32" spans="1:19" ht="22.5" customHeight="1" thickBot="1">
      <c r="A32" s="287">
        <v>2</v>
      </c>
      <c r="B32" t="s" s="297">
        <v>344</v>
      </c>
      <c r="C32" s="289">
        <v>0.22210415600218256</v>
      </c>
      <c r="D32" t="s" s="302">
        <v>527</v>
      </c>
      <c r="E32" s="291">
        <v>3923270</v>
      </c>
      <c r="F32" s="291">
        <v>14370.952380952382</v>
      </c>
      <c r="G32" s="291">
        <v>2207966</v>
      </c>
      <c r="H32" s="307">
        <v>8087.787545787546</v>
      </c>
      <c r="I32" t="s" s="322">
        <v>67</v>
      </c>
    </row>
    <row r="33" spans="1:10" ht="24" customHeight="1" thickBot="1">
      <c r="A33" s="292">
        <v>3</v>
      </c>
      <c r="B33" t="s" s="299">
        <v>345</v>
      </c>
      <c r="C33" s="294">
        <f t="shared" ref="C33:H33" si="1">AVERAGE(C34:C45)</f>
      </c>
      <c r="D33" s="295">
        <f t="shared" si="1"/>
      </c>
      <c r="E33" s="303">
        <f t="shared" si="1"/>
      </c>
      <c r="F33" s="303">
        <f t="shared" si="1"/>
      </c>
      <c r="G33" s="303">
        <f t="shared" si="1"/>
      </c>
      <c r="H33" s="303">
        <f t="shared" si="1"/>
      </c>
      <c r="I33" s="322"/>
      <c r="J33" s="1"/>
    </row>
    <row r="34" spans="1:10" ht="24" customHeight="1" thickBot="1">
      <c r="A34" s="287">
        <v>3.1</v>
      </c>
      <c r="B34" t="s" s="297">
        <v>346</v>
      </c>
      <c r="C34" s="289">
        <v>0.6056433002176795</v>
      </c>
      <c r="D34" s="290">
        <v>0.0007523148148148147</v>
      </c>
      <c r="E34" s="291">
        <v>2179236</v>
      </c>
      <c r="F34" s="318">
        <v>7982.549450549451</v>
      </c>
      <c r="G34" s="291">
        <v>1226655</v>
      </c>
      <c r="H34" s="323">
        <v>4493.241758241758</v>
      </c>
      <c r="I34" t="s" s="322">
        <v>92</v>
      </c>
      <c r="J34" s="308"/>
    </row>
    <row r="35" spans="1:10" ht="26.25" thickBot="1">
      <c r="A35" s="292">
        <v>3.2</v>
      </c>
      <c r="B35" t="s" s="299">
        <v>347</v>
      </c>
      <c r="C35" s="298">
        <v>0.3316932076076325</v>
      </c>
      <c r="D35" s="295">
        <v>0.001099537037037037</v>
      </c>
      <c r="E35" s="296">
        <v>1009686</v>
      </c>
      <c r="F35" s="303">
        <v>3698.4835164835163</v>
      </c>
      <c r="G35" s="296">
        <v>681480</v>
      </c>
      <c r="H35" s="324">
        <v>2496.263736263736</v>
      </c>
      <c r="I35" t="s" s="322">
        <v>135</v>
      </c>
      <c r="J35" s="308"/>
    </row>
    <row r="36" spans="1:10" ht="26.25" thickBot="1">
      <c r="A36" s="287">
        <v>3.3</v>
      </c>
      <c r="B36" t="s" s="297">
        <v>348</v>
      </c>
      <c r="C36" s="289">
        <v>0.5321398485985914</v>
      </c>
      <c r="D36" s="290">
        <v>0.0006828703703703703</v>
      </c>
      <c r="E36" s="291">
        <v>783420</v>
      </c>
      <c r="F36" s="318">
        <v>2869.6703296703295</v>
      </c>
      <c r="G36" s="291">
        <v>529168</v>
      </c>
      <c r="H36" s="323">
        <v>1938.3443223443223</v>
      </c>
      <c r="I36" t="s" s="322">
        <v>249</v>
      </c>
      <c r="J36" s="308"/>
    </row>
    <row r="37" spans="1:10" ht="25.5" customHeight="1" thickBot="1">
      <c r="A37" s="292">
        <v>3.4</v>
      </c>
      <c r="B37" t="s" s="299">
        <v>349</v>
      </c>
      <c r="C37" s="298">
        <v>0.6092781483559931</v>
      </c>
      <c r="D37" s="295">
        <v>0.0009953703703703704</v>
      </c>
      <c r="E37" s="296">
        <v>3064049</v>
      </c>
      <c r="F37" s="303">
        <v>11223.62271062271</v>
      </c>
      <c r="G37" s="296">
        <v>2071028</v>
      </c>
      <c r="H37" s="324">
        <v>7586.18315018315</v>
      </c>
      <c r="I37" t="s" s="322">
        <v>70</v>
      </c>
      <c r="J37" s="308"/>
    </row>
    <row r="38" spans="1:10" ht="22.5" customHeight="1" thickBot="1">
      <c r="A38" s="287">
        <v>3.5</v>
      </c>
      <c r="B38" t="s" s="297">
        <v>350</v>
      </c>
      <c r="C38" s="289">
        <v>0.4421635290018176</v>
      </c>
      <c r="D38" s="290">
        <v>0.0009259259259259259</v>
      </c>
      <c r="E38" s="291">
        <v>941260</v>
      </c>
      <c r="F38" s="318">
        <v>3447.838827838828</v>
      </c>
      <c r="G38" s="291">
        <v>714782</v>
      </c>
      <c r="H38" s="323">
        <v>2618.2490842490843</v>
      </c>
      <c r="I38" t="s" s="322">
        <v>139</v>
      </c>
      <c r="J38" s="308"/>
    </row>
    <row r="39" spans="1:10" ht="24" customHeight="1" thickBot="1">
      <c r="A39" s="292">
        <v>3.6</v>
      </c>
      <c r="B39" t="s" s="299">
        <v>351</v>
      </c>
      <c r="C39" s="298">
        <v>0.3792044946746997</v>
      </c>
      <c r="D39" s="295">
        <v>0.0010879629629629629</v>
      </c>
      <c r="E39" s="296">
        <v>1035137</v>
      </c>
      <c r="F39" s="303">
        <v>3791.710622710623</v>
      </c>
      <c r="G39" s="296">
        <v>751981</v>
      </c>
      <c r="H39" s="324">
        <v>2754.5091575091574</v>
      </c>
      <c r="I39" t="s" s="322">
        <v>138</v>
      </c>
      <c r="J39" s="308"/>
    </row>
    <row r="40" spans="1:10" ht="21.75" customHeight="1" thickBot="1">
      <c r="A40" s="287">
        <v>3.7</v>
      </c>
      <c r="B40" t="s" s="297">
        <v>358</v>
      </c>
      <c r="C40" s="289">
        <v>0.2696700189430936</v>
      </c>
      <c r="D40" s="290">
        <v>0.002025462962962963</v>
      </c>
      <c r="E40" s="291">
        <v>1614531</v>
      </c>
      <c r="F40" s="318">
        <v>5914.0329670329675</v>
      </c>
      <c r="G40" s="291">
        <v>1073989</v>
      </c>
      <c r="H40" s="323">
        <v>3934.025641025641</v>
      </c>
      <c r="I40" t="s" s="322">
        <v>68</v>
      </c>
      <c r="J40" s="308"/>
    </row>
    <row r="41" spans="1:10" ht="23.25" customHeight="1" thickBot="1">
      <c r="A41" s="292">
        <v>3.8</v>
      </c>
      <c r="B41" t="s" s="299">
        <v>352</v>
      </c>
      <c r="C41" s="298">
        <v>0.20021619865631976</v>
      </c>
      <c r="D41" s="295">
        <v>0.0012152777777777778</v>
      </c>
      <c r="E41" s="296">
        <v>400594</v>
      </c>
      <c r="F41" s="303">
        <v>1467.3772893772893</v>
      </c>
      <c r="G41" s="296">
        <v>291576</v>
      </c>
      <c r="H41" s="324">
        <v>1068.043956043956</v>
      </c>
      <c r="I41" t="s" s="322">
        <v>142</v>
      </c>
      <c r="J41" s="308"/>
    </row>
    <row r="42" spans="1:10" ht="18.75" customHeight="1" thickBot="1">
      <c r="A42" s="287">
        <v>3.9</v>
      </c>
      <c r="B42" t="s" s="297">
        <v>353</v>
      </c>
      <c r="C42" s="289">
        <v>0.1238535584183461</v>
      </c>
      <c r="D42" s="290">
        <v>0.0020949074074074073</v>
      </c>
      <c r="E42" s="291">
        <v>318360</v>
      </c>
      <c r="F42" s="318">
        <v>1166.1538461538462</v>
      </c>
      <c r="G42" s="291">
        <v>217209</v>
      </c>
      <c r="H42" s="323">
        <v>795.6373626373627</v>
      </c>
      <c r="I42" t="s" s="322">
        <v>137</v>
      </c>
      <c r="J42" s="308"/>
    </row>
    <row r="43" spans="1:10" ht="22.5" customHeight="1" thickBot="1">
      <c r="A43" s="292">
        <v>3.1</v>
      </c>
      <c r="B43" t="s" s="299">
        <v>354</v>
      </c>
      <c r="C43" s="298">
        <v>0.3472520238204577</v>
      </c>
      <c r="D43" s="295">
        <v>0.001412037037037037</v>
      </c>
      <c r="E43" s="296">
        <v>1947223</v>
      </c>
      <c r="F43" s="303">
        <v>7132.684981684982</v>
      </c>
      <c r="G43" s="296">
        <v>1238525</v>
      </c>
      <c r="H43" s="324">
        <v>4536.721611721612</v>
      </c>
      <c r="I43" t="s" s="322">
        <v>136</v>
      </c>
      <c r="J43" s="308"/>
    </row>
    <row r="44" spans="1:10" ht="21" customHeight="1" thickBot="1">
      <c r="A44" s="287">
        <v>3.11</v>
      </c>
      <c r="B44" t="s" s="297">
        <v>355</v>
      </c>
      <c r="C44" s="289">
        <v>0.3492153453609411</v>
      </c>
      <c r="D44" s="290">
        <v>0.0012152777777777778</v>
      </c>
      <c r="E44" s="291">
        <v>1089517</v>
      </c>
      <c r="F44" s="318">
        <v>3990.904761904762</v>
      </c>
      <c r="G44" s="291">
        <v>697770</v>
      </c>
      <c r="H44" s="323">
        <v>2555.934065934066</v>
      </c>
      <c r="I44" t="s" s="322">
        <v>144</v>
      </c>
      <c r="J44" s="308"/>
    </row>
    <row r="45" spans="1:10" ht="22.5" customHeight="1" thickBot="1">
      <c r="A45" s="292">
        <v>3.12</v>
      </c>
      <c r="B45" t="s" s="299">
        <v>356</v>
      </c>
      <c r="C45" s="298">
        <v>0.6459617549441419</v>
      </c>
      <c r="D45" s="295">
        <v>0.0008333333333333334</v>
      </c>
      <c r="E45" s="296">
        <v>3242654</v>
      </c>
      <c r="F45" s="303">
        <v>11877.85347985348</v>
      </c>
      <c r="G45" s="296">
        <v>2224581</v>
      </c>
      <c r="H45" s="324">
        <v>8148.648351648351</v>
      </c>
      <c r="I45" t="s" s="322">
        <v>141</v>
      </c>
      <c r="J45" s="308"/>
    </row>
    <row r="46" spans="1:10" ht="22.5" customHeight="1" thickBot="1">
      <c r="A46" s="287">
        <v>4</v>
      </c>
      <c r="B46" t="s" s="297">
        <v>357</v>
      </c>
      <c r="C46" s="289">
        <v>0.05489425018599214</v>
      </c>
      <c r="D46" s="290">
        <v>0.0007523148148148147</v>
      </c>
      <c r="E46" s="291">
        <v>68919</v>
      </c>
      <c r="F46" s="318">
        <v>252.45054945054946</v>
      </c>
      <c r="G46" s="318">
        <v>50750</v>
      </c>
      <c r="H46" s="323">
        <v>185.89743589743588</v>
      </c>
      <c r="I46" t="s" s="322">
        <v>91</v>
      </c>
      <c r="J46" s="308"/>
    </row>
    <row r="47" spans="1:10">
      <c r="J47" s="309"/>
    </row>
    <row r="72" spans="7:7" ht="18">
      <c r="G72" s="537"/>
    </row>
    <row r="73" spans="7:7" ht="18">
      <c r="G73" s="538"/>
    </row>
    <row r="74" spans="7:7">
      <c r="G74" s="1"/>
    </row>
  </sheetData>
  <sortState xmlns:xlrd2="http://schemas.microsoft.com/office/spreadsheetml/2017/richdata2" ref="D2:E13">
    <sortCondition ref="D1:D13"/>
  </sortState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BA959-19B0-415F-A6F3-8E9D2FB52CE9}">
  <sheetPr/>
  <sheetViews>
    <sheetView workbookViewId="0">
      <selection activeCell="C25" sqref="C25"/>
    </sheetView>
  </sheetViews>
  <sheetFormatPr defaultRowHeight="12.75"/>
  <cols>
    <col min="1" max="1" width="69.5703125" customWidth="1"/>
    <col min="2" max="2" width="30.28515625" customWidth="1"/>
    <col min="3" max="3" width="25.140625" customWidth="1"/>
  </cols>
  <sheetData>
    <row r="1" spans="1:2" ht="23.25">
      <c r="A1" t="s" s="310">
        <v>360</v>
      </c>
      <c r="B1" s="311">
        <f>'No of Visitors'!B7</f>
      </c>
    </row>
    <row r="2" spans="1:2" ht="23.25">
      <c r="A2" t="s" s="310">
        <v>361</v>
      </c>
      <c r="B2" s="311">
        <f>'tbltransaction-organic'!N8</f>
      </c>
    </row>
    <row r="3" spans="1:2" ht="23.25">
      <c r="A3" t="s" s="310">
        <v>362</v>
      </c>
      <c r="B3" s="311">
        <v>1944</v>
      </c>
    </row>
    <row r="4" spans="1:2" ht="23.25">
      <c r="A4" t="s" s="310">
        <v>363</v>
      </c>
      <c r="B4" s="311">
        <v>6315</v>
      </c>
    </row>
    <row r="5" spans="1:2" ht="23.25">
      <c r="A5" t="s" s="310">
        <v>364</v>
      </c>
      <c r="B5" s="311">
        <v>1782</v>
      </c>
    </row>
    <row r="6" spans="1:2" ht="46.5">
      <c r="A6" t="s" s="310">
        <v>365</v>
      </c>
      <c r="B6" s="311">
        <v>423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229CF-1799-4647-A90D-636F8F257389}">
  <sheetPr/>
  <sheetViews>
    <sheetView workbookViewId="0">
      <selection activeCell="B2" sqref="B2:B12"/>
    </sheetView>
  </sheetViews>
  <sheetFormatPr defaultRowHeight="12.75"/>
  <cols>
    <col min="1" max="1" width="66.5703125" customWidth="1"/>
    <col min="2" max="2" width="13" customWidth="1"/>
    <col min="3" max="3" width="22.140625" customWidth="1"/>
    <col min="5" max="5" width="47.42578125" customWidth="1"/>
  </cols>
  <sheetData>
    <row r="1" spans="1:4" ht="24" customHeight="1">
      <c r="A1" t="s" s="314">
        <v>366</v>
      </c>
      <c r="B1" t="s" s="314">
        <v>281</v>
      </c>
      <c r="C1" t="s" s="314">
        <v>367</v>
      </c>
      <c r="D1" t="s" s="314">
        <v>167</v>
      </c>
    </row>
    <row r="2" spans="1:4" ht="18">
      <c r="A2" t="s" s="312">
        <v>368</v>
      </c>
      <c r="B2" s="215">
        <v>1290</v>
      </c>
      <c r="C2" s="226">
        <f>D2/B2</f>
      </c>
      <c r="D2" s="9">
        <v>2934</v>
      </c>
    </row>
    <row r="3" spans="1:4" ht="18">
      <c r="A3" t="s" s="312">
        <v>369</v>
      </c>
      <c r="B3" s="215">
        <v>1167</v>
      </c>
      <c r="C3" s="226">
        <f>D3/B3</f>
      </c>
      <c r="D3" s="9">
        <v>2745</v>
      </c>
    </row>
    <row r="4" spans="1:4" ht="18">
      <c r="A4" t="s" s="312">
        <v>371</v>
      </c>
      <c r="B4" s="215">
        <v>857</v>
      </c>
      <c r="C4" s="226">
        <f t="shared" ref="C4:C16" si="0">D4/B4</f>
      </c>
      <c r="D4" s="9">
        <v>1126</v>
      </c>
    </row>
    <row r="5" spans="1:4" ht="18">
      <c r="A5" t="s" s="312">
        <v>373</v>
      </c>
      <c r="B5" s="215">
        <v>761</v>
      </c>
      <c r="C5" s="226">
        <f t="shared" si="0"/>
      </c>
      <c r="D5" s="9">
        <v>1643</v>
      </c>
    </row>
    <row r="6" spans="1:4" ht="18">
      <c r="A6" t="s" s="312">
        <v>622</v>
      </c>
      <c r="B6" s="215">
        <v>582</v>
      </c>
      <c r="C6" s="226">
        <f>D6/B6</f>
      </c>
      <c r="D6" s="9">
        <v>2982</v>
      </c>
    </row>
    <row r="7" spans="1:4" ht="18">
      <c r="A7" t="s" s="312">
        <v>370</v>
      </c>
      <c r="B7" s="215">
        <v>568</v>
      </c>
      <c r="C7" s="226">
        <f t="shared" si="0"/>
      </c>
      <c r="D7" s="9">
        <v>1251</v>
      </c>
    </row>
    <row r="8" spans="1:4" ht="18">
      <c r="A8" t="s" s="312">
        <v>623</v>
      </c>
      <c r="B8" s="215">
        <v>506</v>
      </c>
      <c r="C8" s="226">
        <f t="shared" si="0"/>
      </c>
      <c r="D8" s="9">
        <v>781</v>
      </c>
    </row>
    <row r="9" spans="1:4" ht="18">
      <c r="A9" t="s" s="312">
        <v>624</v>
      </c>
      <c r="B9" s="215">
        <v>489</v>
      </c>
      <c r="C9" s="226">
        <f t="shared" si="0"/>
      </c>
      <c r="D9" s="9">
        <v>736</v>
      </c>
    </row>
    <row r="10" spans="1:4" ht="18">
      <c r="A10" t="s" s="312">
        <v>374</v>
      </c>
      <c r="B10" s="215">
        <v>431</v>
      </c>
      <c r="C10" s="226">
        <f t="shared" si="0"/>
      </c>
      <c r="D10" s="9">
        <v>939</v>
      </c>
    </row>
    <row r="11" spans="1:4" ht="18">
      <c r="A11" t="s" s="312">
        <v>377</v>
      </c>
      <c r="B11" s="215">
        <v>331</v>
      </c>
      <c r="C11" s="226">
        <f t="shared" si="0"/>
      </c>
      <c r="D11" s="9">
        <v>878</v>
      </c>
    </row>
    <row r="12" spans="1:4" ht="18">
      <c r="A12" t="s" s="312">
        <v>521</v>
      </c>
      <c r="B12" s="313">
        <v>315</v>
      </c>
      <c r="C12" s="226">
        <f t="shared" si="0"/>
      </c>
      <c r="D12" s="9">
        <v>790</v>
      </c>
    </row>
    <row r="13" spans="1:4" ht="18">
      <c r="A13" t="s" s="312">
        <v>468</v>
      </c>
      <c r="B13" s="313">
        <v>306</v>
      </c>
      <c r="C13" s="226">
        <f t="shared" si="0"/>
      </c>
      <c r="D13" s="9">
        <v>685</v>
      </c>
    </row>
    <row r="14" spans="1:4" ht="18">
      <c r="A14" t="s" s="312">
        <v>372</v>
      </c>
      <c r="B14" s="313">
        <v>303</v>
      </c>
      <c r="C14" s="226">
        <f t="shared" si="0"/>
      </c>
      <c r="D14" s="9">
        <v>708</v>
      </c>
    </row>
    <row r="15" spans="1:4" ht="18">
      <c r="A15" t="s" s="312">
        <v>520</v>
      </c>
      <c r="B15" s="313">
        <v>298</v>
      </c>
      <c r="C15" s="226">
        <f t="shared" si="0"/>
      </c>
      <c r="D15" s="9">
        <v>580</v>
      </c>
    </row>
    <row r="16" spans="1:4" ht="18">
      <c r="A16" t="s" s="312">
        <v>375</v>
      </c>
      <c r="B16" s="313">
        <v>258</v>
      </c>
      <c r="C16" s="226">
        <f t="shared" si="0"/>
      </c>
      <c r="D16" s="9">
        <v>512</v>
      </c>
    </row>
    <row r="17" spans="2:3">
      <c r="B17" s="38"/>
      <c r="C17" s="38"/>
    </row>
    <row r="18" spans="2:3">
      <c r="B18" s="38"/>
      <c r="C18" s="38"/>
    </row>
    <row r="4387" spans="2:5">
      <c r="B4387" s="184">
        <f>SUM(B2:B4386)</f>
      </c>
      <c r="D4387">
        <f>SUM(D2:D4386)</f>
      </c>
      <c r="E4387">
        <f>D4387/B4387</f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96C03-189E-467D-A25C-E7B50AE1CD7D}">
  <sheetPr/>
  <sheetViews>
    <sheetView workbookViewId="0">
      <selection activeCell="C2" sqref="A1:C10"/>
    </sheetView>
  </sheetViews>
  <sheetFormatPr defaultRowHeight="12.75"/>
  <cols>
    <col min="1" max="2" width="15.140625" bestFit="1" customWidth="1"/>
    <col min="3" max="3" width="41.28515625" customWidth="1"/>
    <col min="4" max="4" width="15.140625" bestFit="1" customWidth="1"/>
    <col min="5" max="9" width="13.85546875" bestFit="1" customWidth="1"/>
    <col min="12" max="12" width="19.5703125" bestFit="1" customWidth="1"/>
    <col min="13" max="13" width="13.85546875" bestFit="1" customWidth="1"/>
  </cols>
  <sheetData>
    <row r="1" spans="1:8" ht="41.25" thickBot="1">
      <c r="A1" t="s" s="41">
        <v>243</v>
      </c>
      <c r="B1" t="s" s="41">
        <v>242</v>
      </c>
      <c r="C1" t="s" s="9">
        <v>140</v>
      </c>
    </row>
    <row r="2" spans="1:8" ht="18.75" thickBot="1">
      <c r="A2" s="329">
        <v>1815975</v>
      </c>
      <c r="B2" s="329">
        <v>1452406</v>
      </c>
      <c r="C2" s="11">
        <f>SUM(A2-B2)/B2*100</f>
      </c>
      <c r="E2" s="210"/>
      <c r="F2" s="329">
        <v>1452406</v>
      </c>
    </row>
    <row r="3" spans="1:8" ht="18.75" thickBot="1">
      <c r="A3" s="330">
        <v>148616</v>
      </c>
      <c r="B3" s="330">
        <v>127069</v>
      </c>
      <c r="C3" s="11">
        <f t="shared" ref="C3:C10" si="0">SUM(A3-B3)/B3*100</f>
      </c>
      <c r="E3" s="392"/>
      <c r="F3" s="330">
        <v>127069</v>
      </c>
    </row>
    <row r="4" spans="1:8" ht="18.75" thickBot="1">
      <c r="A4" s="329">
        <v>1649903</v>
      </c>
      <c r="B4" s="329">
        <v>1281828</v>
      </c>
      <c r="C4" s="11">
        <f t="shared" si="0"/>
      </c>
      <c r="E4" s="210"/>
      <c r="F4" s="329">
        <v>1281828</v>
      </c>
    </row>
    <row r="5" spans="1:8" ht="18.75" thickBot="1">
      <c r="A5" s="331">
        <v>1.74</v>
      </c>
      <c r="B5" s="331">
        <v>1.71</v>
      </c>
      <c r="C5" s="11">
        <f t="shared" si="0"/>
      </c>
      <c r="E5" s="393"/>
      <c r="F5" s="331">
        <v>1.71</v>
      </c>
    </row>
    <row r="6" spans="1:8" ht="18.75" thickBot="1">
      <c r="A6" s="332">
        <v>0.0016319444444444445</v>
      </c>
      <c r="B6" s="332">
        <v>0.001736111111111111</v>
      </c>
      <c r="C6" s="11">
        <f t="shared" si="0"/>
      </c>
      <c r="E6" s="394"/>
      <c r="F6" s="332">
        <v>0.001736111111111111</v>
      </c>
    </row>
    <row r="7" spans="1:8" ht="18.75" thickBot="1">
      <c r="A7" s="329">
        <v>2306319</v>
      </c>
      <c r="B7" s="329">
        <v>1883860</v>
      </c>
      <c r="C7" s="11">
        <f t="shared" si="0"/>
      </c>
      <c r="E7" s="210"/>
      <c r="F7" s="329">
        <v>1883860</v>
      </c>
    </row>
    <row r="8" spans="1:8" ht="18.75" thickBot="1">
      <c r="A8" s="330">
        <v>4009027</v>
      </c>
      <c r="B8" s="330">
        <v>3322431</v>
      </c>
      <c r="C8" s="11">
        <f t="shared" si="0"/>
      </c>
      <c r="E8" s="392"/>
      <c r="F8" s="330">
        <v>3322431</v>
      </c>
    </row>
    <row r="9" spans="1:8" ht="18.75" thickBot="1">
      <c r="A9" s="329">
        <v>6252</v>
      </c>
      <c r="B9" s="330">
        <v>5807</v>
      </c>
      <c r="C9" s="11">
        <f t="shared" si="0"/>
      </c>
      <c r="E9" s="210"/>
      <c r="F9" s="330">
        <v>5807</v>
      </c>
    </row>
    <row r="10" spans="1:8" ht="18.75" thickBot="1">
      <c r="A10" s="333">
        <v>34</v>
      </c>
      <c r="B10" s="333">
        <v>36</v>
      </c>
      <c r="C10" s="11">
        <f t="shared" si="0"/>
      </c>
      <c r="E10" s="207"/>
      <c r="F10" s="333">
        <v>36</v>
      </c>
    </row>
    <row r="12" spans="1:8" ht="40.5" customHeight="1"/>
    <row r="13" spans="1:8" ht="21" customHeight="1"/>
    <row r="14" spans="1:8" ht="14.25">
      <c r="F14" s="12"/>
      <c r="G14" s="99"/>
      <c r="H14" s="100"/>
    </row>
    <row r="15" spans="1:8" ht="14.25">
      <c r="F15" s="12"/>
      <c r="G15" s="99"/>
      <c r="H15" s="100"/>
    </row>
    <row r="16" spans="1:8" ht="14.25">
      <c r="G16" s="99"/>
      <c r="H16" s="100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1C137-EA2A-4F68-836D-CA328E1F426D}">
  <sheetPr/>
  <sheetViews>
    <sheetView zoomScaleNormal="100" workbookViewId="0">
      <selection activeCell="D17" sqref="D17"/>
    </sheetView>
  </sheetViews>
  <sheetFormatPr defaultRowHeight="12.75"/>
  <cols>
    <col min="1" max="1" width="20" style="86" customWidth="1"/>
    <col min="2" max="2" width="21.5703125" style="86" bestFit="1" customWidth="1"/>
    <col min="3" max="3" width="21" customWidth="1"/>
  </cols>
  <sheetData>
    <row r="1" spans="1:18">
      <c r="A1" s="334"/>
      <c r="D1" t="s" s="335">
        <v>447</v>
      </c>
      <c r="F1" t="s" s="335">
        <v>451</v>
      </c>
      <c r="H1" t="s" s="335">
        <v>450</v>
      </c>
      <c r="J1" t="s" s="335">
        <v>452</v>
      </c>
      <c r="L1" t="s" s="335">
        <v>448</v>
      </c>
      <c r="N1" t="s" s="335">
        <v>446</v>
      </c>
      <c r="P1" t="s" s="334">
        <v>445</v>
      </c>
      <c r="R1" t="s" s="335">
        <v>453</v>
      </c>
    </row>
    <row r="2" spans="1:18">
      <c r="A2" s="335"/>
      <c r="C2" t="s" s="340">
        <v>93</v>
      </c>
      <c r="D2" s="335">
        <v>1282252</v>
      </c>
      <c r="F2" s="335">
        <v>907472</v>
      </c>
      <c r="H2" s="335">
        <v>1023639</v>
      </c>
      <c r="J2" s="335">
        <v>838837</v>
      </c>
      <c r="L2" s="335">
        <v>1111927</v>
      </c>
      <c r="N2" s="335">
        <v>2761059</v>
      </c>
      <c r="P2" s="335">
        <v>3349424</v>
      </c>
      <c r="R2" s="335">
        <v>796861</v>
      </c>
    </row>
    <row r="3" spans="1:18">
      <c r="A3" s="335"/>
      <c r="C3" t="s" s="340">
        <v>457</v>
      </c>
      <c r="D3" s="335">
        <v>1750181</v>
      </c>
      <c r="F3" s="335">
        <v>1300740</v>
      </c>
      <c r="H3" s="335">
        <v>1298056</v>
      </c>
      <c r="J3" s="335">
        <v>1123222</v>
      </c>
      <c r="L3" s="335">
        <v>1386083</v>
      </c>
      <c r="N3" s="335">
        <v>3436416</v>
      </c>
      <c r="P3" s="335">
        <v>4167538</v>
      </c>
      <c r="R3" s="335">
        <v>1013091</v>
      </c>
    </row>
    <row r="4" spans="1:18">
      <c r="A4" s="335"/>
      <c r="C4" t="s" s="340">
        <v>458</v>
      </c>
      <c r="D4" s="335">
        <v>141.91060528313815</v>
      </c>
      <c r="F4" t="s" s="335">
        <v>444</v>
      </c>
      <c r="H4" s="335">
        <v>167.84902706949157</v>
      </c>
      <c r="J4" s="335">
        <v>194.26855080822492</v>
      </c>
      <c r="L4" t="s" s="336">
        <v>449</v>
      </c>
      <c r="N4" s="335">
        <v>123.93680403644845</v>
      </c>
      <c r="P4" s="335">
        <v>117.77712881034391</v>
      </c>
      <c r="R4" s="335">
        <v>173.41304585106369</v>
      </c>
    </row>
    <row r="5" spans="1:18">
      <c r="A5" s="335"/>
      <c r="C5" t="s" s="340">
        <v>459</v>
      </c>
      <c r="D5" s="335">
        <v>1190484</v>
      </c>
      <c r="F5" s="335">
        <v>786757</v>
      </c>
      <c r="H5" s="335">
        <v>942198</v>
      </c>
      <c r="J5" s="335">
        <v>763581</v>
      </c>
      <c r="L5" s="335">
        <v>1033522</v>
      </c>
      <c r="N5" s="335">
        <v>2627860</v>
      </c>
      <c r="P5" s="335">
        <v>3131840</v>
      </c>
      <c r="R5" s="335">
        <v>675742</v>
      </c>
    </row>
    <row r="6" spans="1:18">
      <c r="A6" s="335"/>
      <c r="C6" t="s" s="340">
        <v>1</v>
      </c>
      <c r="D6" s="335">
        <v>3144863</v>
      </c>
      <c r="F6" s="335">
        <v>2467315</v>
      </c>
      <c r="H6" s="335">
        <v>2458860</v>
      </c>
      <c r="J6" s="335">
        <v>2268137</v>
      </c>
      <c r="L6" s="335">
        <v>2863687</v>
      </c>
      <c r="N6" s="335">
        <v>5582723</v>
      </c>
      <c r="P6" s="335">
        <v>6812079</v>
      </c>
      <c r="R6" s="335">
        <v>1857074</v>
      </c>
    </row>
    <row r="7" spans="1:18">
      <c r="A7" s="335"/>
      <c r="B7" s="335"/>
    </row>
    <row r="8" spans="1:18">
      <c r="A8" s="335"/>
      <c r="B8" s="335"/>
      <c r="D8" t="s" s="86">
        <v>447</v>
      </c>
      <c r="F8" t="s" s="86">
        <v>451</v>
      </c>
      <c r="H8" t="s" s="86">
        <v>450</v>
      </c>
      <c r="J8" t="s" s="86">
        <v>452</v>
      </c>
      <c r="L8" t="s" s="86">
        <v>448</v>
      </c>
      <c r="N8" t="s" s="86">
        <v>446</v>
      </c>
      <c r="P8" t="s" s="86">
        <v>445</v>
      </c>
      <c r="R8" t="s" s="86">
        <v>453</v>
      </c>
    </row>
    <row r="9" spans="1:18">
      <c r="A9" s="335"/>
      <c r="B9" s="335"/>
      <c r="C9" t="s" s="340">
        <v>93</v>
      </c>
      <c r="D9" s="86">
        <v>752812</v>
      </c>
      <c r="F9" s="339">
        <v>1952754</v>
      </c>
      <c r="H9" s="86">
        <v>1088842</v>
      </c>
      <c r="J9" s="86">
        <v>1822296</v>
      </c>
      <c r="L9" s="86">
        <v>1853288</v>
      </c>
      <c r="N9" s="86">
        <v>1647389</v>
      </c>
      <c r="P9" s="86">
        <v>1931770</v>
      </c>
      <c r="R9" s="86">
        <v>1196522</v>
      </c>
    </row>
    <row r="10" spans="1:18">
      <c r="A10" s="335"/>
      <c r="C10" t="s" s="340">
        <v>457</v>
      </c>
      <c r="D10" s="86">
        <v>975150</v>
      </c>
      <c r="F10" s="86">
        <v>2626352</v>
      </c>
      <c r="H10" s="86">
        <v>1505441</v>
      </c>
      <c r="J10" s="86">
        <v>2274026</v>
      </c>
      <c r="L10" s="86">
        <v>2295053</v>
      </c>
      <c r="N10" s="86">
        <v>2072987</v>
      </c>
      <c r="P10" s="86">
        <v>2318344</v>
      </c>
      <c r="R10" s="86">
        <v>1685981</v>
      </c>
    </row>
    <row r="11" spans="1:18">
      <c r="A11" s="335"/>
      <c r="C11" t="s" s="340">
        <v>458</v>
      </c>
      <c r="D11" s="86">
        <v>203.002043859544</v>
      </c>
      <c r="F11" s="86">
        <v>144.000224676882</v>
      </c>
      <c r="H11" t="s" s="86">
        <v>455</v>
      </c>
      <c r="J11" t="s" s="86">
        <v>454</v>
      </c>
      <c r="L11" s="86">
        <v>131.81292166488834</v>
      </c>
      <c r="N11" s="86">
        <v>127.72968076725131</v>
      </c>
      <c r="P11" s="86">
        <v>122.84737963135497</v>
      </c>
      <c r="R11" s="86">
        <v>150.96375314832846</v>
      </c>
    </row>
    <row r="12" spans="1:18">
      <c r="A12" s="335"/>
      <c r="C12" t="s" s="340">
        <v>459</v>
      </c>
      <c r="D12" s="86">
        <v>686734</v>
      </c>
      <c r="F12" s="86">
        <v>1860236</v>
      </c>
      <c r="H12" s="86">
        <v>1019478</v>
      </c>
      <c r="J12" s="86">
        <v>1696705</v>
      </c>
      <c r="L12" s="86">
        <v>1743838</v>
      </c>
      <c r="N12" s="86">
        <v>1538599</v>
      </c>
      <c r="P12" s="86">
        <v>1786408</v>
      </c>
      <c r="R12" s="86">
        <v>1131167</v>
      </c>
    </row>
    <row r="13" spans="1:18">
      <c r="A13" s="335"/>
      <c r="C13" t="s" s="340">
        <v>1</v>
      </c>
      <c r="D13" s="86">
        <v>1954636</v>
      </c>
      <c r="F13" s="86">
        <v>4344916</v>
      </c>
      <c r="H13" s="86">
        <v>2538338</v>
      </c>
      <c r="J13" s="86">
        <v>3850224</v>
      </c>
      <c r="L13" s="86">
        <v>3699781</v>
      </c>
      <c r="N13" s="86">
        <v>3314614</v>
      </c>
      <c r="P13" s="86">
        <v>3748100</v>
      </c>
      <c r="R13" s="86">
        <v>2932771</v>
      </c>
    </row>
    <row r="14" spans="1:18">
      <c r="A14" s="335"/>
      <c r="C14" t="s" s="341">
        <v>460</v>
      </c>
      <c r="D14">
        <f>D13/D10</f>
      </c>
      <c r="F14">
        <f t="shared" ref="F14:R14" si="0">F13/F10</f>
      </c>
      <c r="H14">
        <f>H13/H10</f>
      </c>
      <c r="J14">
        <f t="shared" si="0"/>
      </c>
      <c r="L14">
        <f t="shared" si="0"/>
      </c>
      <c r="N14">
        <f t="shared" si="0"/>
      </c>
      <c r="P14">
        <f t="shared" si="0"/>
      </c>
      <c r="R14">
        <f t="shared" si="0"/>
      </c>
    </row>
    <row r="15" spans="1:18">
      <c r="A15" s="335"/>
      <c r="D15">
        <v>2.004446495</v>
      </c>
      <c r="F15">
        <v>1.654354024</v>
      </c>
      <c r="H15">
        <v>1.686109253</v>
      </c>
      <c r="J15">
        <v>1.693131037</v>
      </c>
      <c r="L15">
        <v>1.612067782</v>
      </c>
      <c r="N15">
        <v>1.598955517</v>
      </c>
      <c r="P15">
        <v>1.616714344</v>
      </c>
      <c r="R15">
        <v>1.739504182</v>
      </c>
    </row>
    <row r="16" spans="1:18">
      <c r="A16" s="335"/>
      <c r="B16" s="335"/>
    </row>
    <row r="17" spans="1:16">
      <c r="A17" s="335"/>
      <c r="B17" s="335"/>
      <c r="D17" s="12"/>
    </row>
    <row r="18" spans="1:16">
      <c r="A18" s="335"/>
      <c r="B18" s="335"/>
      <c r="D18" s="12"/>
    </row>
    <row r="19" spans="1:16">
      <c r="A19" s="335"/>
    </row>
    <row r="20" spans="1:16">
      <c r="A20" s="335"/>
    </row>
    <row r="21" spans="1:16">
      <c r="A21" s="335"/>
    </row>
    <row r="22" spans="1:16">
      <c r="A22" s="335"/>
    </row>
    <row r="23" spans="1:16">
      <c r="A23" s="335"/>
    </row>
    <row r="24" spans="1:16">
      <c r="A24" s="335"/>
    </row>
    <row r="25" spans="1:16">
      <c r="A25" s="335"/>
      <c r="B25" s="342"/>
      <c r="P25" s="343"/>
    </row>
    <row r="26" spans="1:16">
      <c r="A26" s="335"/>
      <c r="B26" s="342"/>
      <c r="C26" s="86"/>
      <c r="D26" s="86"/>
      <c r="E26" s="86"/>
      <c r="F26" s="86"/>
      <c r="G26" s="86"/>
      <c r="H26" s="86"/>
      <c r="J26" s="86"/>
      <c r="K26" s="86"/>
      <c r="L26" s="86"/>
      <c r="M26" s="86"/>
      <c r="N26" s="86"/>
      <c r="O26" s="86"/>
    </row>
    <row r="27" spans="1:16">
      <c r="A27" s="335"/>
      <c r="B27" s="342"/>
    </row>
    <row r="28" spans="1:16">
      <c r="A28" s="335"/>
      <c r="C28" s="86"/>
      <c r="D28" s="86"/>
      <c r="E28" s="86"/>
      <c r="F28" s="86"/>
      <c r="G28" s="86"/>
      <c r="H28" s="86"/>
      <c r="J28" s="86"/>
      <c r="K28" s="339"/>
      <c r="L28" s="86"/>
      <c r="M28" s="86"/>
      <c r="N28" s="86"/>
      <c r="O28" s="86"/>
    </row>
    <row r="29" spans="1:16">
      <c r="A29" s="335"/>
    </row>
    <row r="30" spans="1:16">
      <c r="A30" s="335"/>
      <c r="C30" s="86"/>
      <c r="D30" s="86"/>
      <c r="E30" s="86"/>
      <c r="F30" s="86"/>
      <c r="G30" s="86"/>
      <c r="H30" s="86"/>
      <c r="J30" s="86"/>
      <c r="K30" s="86"/>
      <c r="L30" s="86"/>
      <c r="M30" s="86"/>
      <c r="N30" s="86"/>
      <c r="O30" s="86"/>
    </row>
    <row r="31" spans="1:16">
      <c r="A31" s="335"/>
    </row>
    <row r="32" spans="1:16">
      <c r="A32" s="335"/>
      <c r="C32" s="86"/>
      <c r="D32" s="86"/>
      <c r="E32" s="86"/>
      <c r="F32" s="86"/>
      <c r="G32" s="86"/>
      <c r="H32" s="86"/>
      <c r="J32" s="86"/>
      <c r="K32" s="86"/>
      <c r="L32" s="86"/>
      <c r="M32" s="86"/>
      <c r="N32" s="86"/>
      <c r="O32" s="86"/>
    </row>
    <row r="33" spans="1:15">
      <c r="A33" s="335"/>
    </row>
    <row r="34" spans="1:15">
      <c r="A34" s="335"/>
      <c r="B34" s="342"/>
      <c r="C34" s="86"/>
      <c r="D34" s="86"/>
      <c r="E34" s="86"/>
      <c r="F34" s="344"/>
      <c r="G34" s="86"/>
      <c r="H34" s="86"/>
      <c r="J34" s="86"/>
      <c r="K34" s="86"/>
      <c r="L34" s="86"/>
      <c r="M34" s="86"/>
      <c r="N34" s="86"/>
      <c r="O34" s="86"/>
    </row>
    <row r="35" spans="1:15">
      <c r="A35" s="335"/>
      <c r="B35" s="342"/>
    </row>
    <row r="36" spans="1:15">
      <c r="A36" s="335"/>
      <c r="B36" s="342"/>
      <c r="C36" s="86"/>
      <c r="D36" s="86"/>
      <c r="E36" s="86"/>
      <c r="F36" s="86"/>
      <c r="G36" s="86"/>
      <c r="H36" s="86"/>
      <c r="J36" s="86"/>
      <c r="K36" s="86"/>
      <c r="L36" s="86"/>
      <c r="M36" s="86"/>
      <c r="N36" s="86"/>
      <c r="O36" s="86"/>
    </row>
    <row r="37" spans="1:15">
      <c r="A37" s="335"/>
    </row>
    <row r="38" spans="1:15">
      <c r="A38" s="335"/>
      <c r="C38" s="345"/>
      <c r="D38" s="86"/>
      <c r="E38" s="86"/>
      <c r="F38" s="86"/>
      <c r="G38" s="86"/>
      <c r="H38" s="86"/>
      <c r="J38" s="86"/>
      <c r="K38" s="86"/>
      <c r="L38" s="86"/>
      <c r="M38" s="86"/>
      <c r="N38" s="86"/>
      <c r="O38" s="86"/>
    </row>
    <row r="39" spans="1:15">
      <c r="A39" s="335"/>
    </row>
    <row r="40" spans="1:15">
      <c r="A40" s="335"/>
      <c r="C40" s="86"/>
      <c r="D40" s="86"/>
      <c r="E40" s="86"/>
      <c r="F40" s="86"/>
      <c r="G40" s="86"/>
      <c r="H40" s="86"/>
      <c r="J40" s="86"/>
      <c r="K40" s="86"/>
      <c r="L40" s="86"/>
      <c r="M40" s="86"/>
      <c r="N40" s="86"/>
      <c r="O40" s="86"/>
    </row>
    <row r="41" spans="1:15">
      <c r="A41" s="335"/>
    </row>
    <row r="42" spans="1:15">
      <c r="A42" s="335"/>
    </row>
    <row r="43" spans="1:15">
      <c r="A43" s="335"/>
      <c r="B43" s="342"/>
    </row>
    <row r="44" spans="1:15">
      <c r="A44" s="335"/>
      <c r="B44" s="335"/>
    </row>
    <row r="45" spans="1:15">
      <c r="A45" s="335"/>
      <c r="B45" s="335"/>
    </row>
    <row r="46" spans="1:15">
      <c r="A46" s="335"/>
    </row>
    <row r="47" spans="1:15">
      <c r="A47" s="335"/>
    </row>
    <row r="48" spans="1:15">
      <c r="A48" s="335"/>
    </row>
    <row r="49" spans="1:2">
      <c r="A49" s="335"/>
    </row>
    <row r="50" spans="1:2">
      <c r="A50" s="335"/>
    </row>
    <row r="51" spans="1:2">
      <c r="A51" s="335"/>
    </row>
    <row r="52" spans="1:2">
      <c r="A52" s="335"/>
      <c r="B52" s="335"/>
    </row>
    <row r="53" spans="1:2">
      <c r="A53" s="335"/>
      <c r="B53" s="335"/>
    </row>
    <row r="54" spans="1:2">
      <c r="A54" s="335"/>
      <c r="B54" s="335"/>
    </row>
    <row r="55" spans="1:2">
      <c r="A55" s="335"/>
    </row>
    <row r="56" spans="1:2">
      <c r="A56" s="335"/>
    </row>
    <row r="57" spans="1:2">
      <c r="A57" s="337"/>
    </row>
    <row r="58" spans="1:2">
      <c r="A58" s="335"/>
    </row>
    <row r="59" spans="1:2">
      <c r="A59" s="335"/>
    </row>
    <row r="60" spans="1:2">
      <c r="A60" s="335"/>
    </row>
    <row r="61" spans="1:2">
      <c r="A61" s="335"/>
      <c r="B61" s="335"/>
    </row>
    <row r="62" spans="1:2">
      <c r="A62" s="335"/>
      <c r="B62" s="335"/>
    </row>
    <row r="63" spans="1:2">
      <c r="A63" s="335"/>
      <c r="B63" s="335"/>
    </row>
    <row r="64" spans="1:2">
      <c r="A64" s="335"/>
    </row>
    <row r="65" spans="1:2">
      <c r="A65" s="335"/>
    </row>
    <row r="66" spans="1:2">
      <c r="A66" s="335"/>
    </row>
    <row r="67" spans="1:2">
      <c r="A67" s="335"/>
    </row>
    <row r="68" spans="1:2">
      <c r="A68" s="335"/>
    </row>
    <row r="69" spans="1:2">
      <c r="A69" s="335"/>
    </row>
    <row r="70" spans="1:2">
      <c r="A70" s="335"/>
      <c r="B70" s="335"/>
    </row>
    <row r="71" spans="1:2">
      <c r="A71" s="335"/>
      <c r="B71" s="335"/>
    </row>
    <row r="72" spans="1:2">
      <c r="A72" s="335"/>
      <c r="B72" s="335"/>
    </row>
    <row r="73" spans="1:2">
      <c r="A73" s="335"/>
      <c r="B73" t="s" s="335">
        <v>450</v>
      </c>
    </row>
    <row r="74" spans="1:2">
      <c r="A74" s="335"/>
      <c r="B74" s="335">
        <v>25</v>
      </c>
    </row>
    <row r="75" spans="1:2">
      <c r="A75" s="335"/>
      <c r="B75" s="335">
        <v>29</v>
      </c>
    </row>
    <row r="76" spans="1:2">
      <c r="A76" s="335"/>
      <c r="B76" t="s" s="335">
        <v>456</v>
      </c>
    </row>
    <row r="77" spans="1:2">
      <c r="A77" s="335"/>
      <c r="B77" s="335">
        <v>0</v>
      </c>
    </row>
    <row r="78" spans="1:2">
      <c r="A78" s="335"/>
      <c r="B78" s="335">
        <v>0</v>
      </c>
    </row>
    <row r="79" spans="1:2">
      <c r="A79" s="335"/>
      <c r="B79" s="335"/>
    </row>
    <row r="80" spans="1:2">
      <c r="A80" s="335"/>
      <c r="B80" s="335"/>
    </row>
    <row r="81" spans="1:2">
      <c r="A81" s="335"/>
      <c r="B81" s="335"/>
    </row>
    <row r="82" spans="1:2">
      <c r="A82" s="335"/>
      <c r="B82" t="s" s="335">
        <v>451</v>
      </c>
    </row>
    <row r="83" spans="1:2">
      <c r="A83" s="335"/>
      <c r="B83" s="335">
        <v>2</v>
      </c>
    </row>
    <row r="84" spans="1:2">
      <c r="A84" s="335"/>
      <c r="B84" s="335">
        <v>2</v>
      </c>
    </row>
    <row r="85" spans="1:2">
      <c r="A85" s="335"/>
      <c r="B85" s="335">
        <v>5.029166</v>
      </c>
    </row>
    <row r="86" spans="1:2">
      <c r="A86" s="335"/>
      <c r="B86" s="335">
        <v>0</v>
      </c>
    </row>
    <row r="87" spans="1:2">
      <c r="A87" s="335"/>
      <c r="B87" s="335">
        <v>0</v>
      </c>
    </row>
    <row r="88" spans="1:2">
      <c r="A88" s="335"/>
      <c r="B88" s="335"/>
    </row>
    <row r="89" spans="1:2">
      <c r="A89" s="335"/>
      <c r="B89" s="335"/>
    </row>
    <row r="90" spans="1:2">
      <c r="A90" s="335"/>
      <c r="B90" s="335"/>
    </row>
    <row r="91" spans="1:2">
      <c r="A91" s="335"/>
      <c r="B91" t="s" s="335">
        <v>447</v>
      </c>
    </row>
    <row r="92" spans="1:2">
      <c r="A92" s="335"/>
      <c r="B92" s="335">
        <v>1</v>
      </c>
    </row>
    <row r="93" spans="1:2">
      <c r="A93" s="335"/>
      <c r="B93" s="335">
        <v>1</v>
      </c>
    </row>
    <row r="94" spans="1:2">
      <c r="A94" s="335"/>
      <c r="B94" s="335">
        <v>5.042405</v>
      </c>
    </row>
    <row r="95" spans="1:2">
      <c r="A95" s="335"/>
      <c r="B95" s="335">
        <v>0</v>
      </c>
    </row>
    <row r="96" spans="1:2">
      <c r="A96" s="335"/>
      <c r="B96" s="335">
        <v>0</v>
      </c>
    </row>
    <row r="97" spans="1:2">
      <c r="A97" s="335"/>
      <c r="B97" s="335"/>
    </row>
    <row r="98" spans="1:2">
      <c r="A98" s="335"/>
      <c r="B98" s="335"/>
    </row>
    <row r="99" spans="1:2">
      <c r="A99" s="335"/>
      <c r="B99" s="335"/>
    </row>
    <row r="100" spans="1:2">
      <c r="A100" s="335"/>
      <c r="B100" t="s" s="335">
        <v>450</v>
      </c>
    </row>
    <row r="101" spans="1:2">
      <c r="A101" s="335"/>
      <c r="B101" s="335">
        <v>1</v>
      </c>
    </row>
    <row r="102" spans="1:2">
      <c r="A102" s="335"/>
      <c r="B102" s="335">
        <v>1</v>
      </c>
    </row>
    <row r="103" spans="1:2">
      <c r="A103" s="335"/>
      <c r="B103" s="335">
        <v>4.760844</v>
      </c>
    </row>
    <row r="104" spans="1:2">
      <c r="A104" s="335"/>
      <c r="B104" s="335">
        <v>0</v>
      </c>
    </row>
    <row r="105" spans="1:2">
      <c r="A105" s="335"/>
      <c r="B105" s="335">
        <v>0</v>
      </c>
    </row>
    <row r="106" spans="1:2">
      <c r="A106" s="335"/>
      <c r="B106" s="335"/>
    </row>
    <row r="107" spans="1:2">
      <c r="A107" s="335"/>
      <c r="B107" s="335"/>
    </row>
    <row r="108" spans="1:2">
      <c r="A108" s="335"/>
      <c r="B108" s="335"/>
    </row>
    <row r="109" spans="1:2">
      <c r="A109" s="335"/>
      <c r="B109" t="s" s="335">
        <v>447</v>
      </c>
    </row>
    <row r="110" spans="1:2">
      <c r="A110" s="335"/>
      <c r="B110" s="335">
        <v>1</v>
      </c>
    </row>
    <row r="111" spans="1:2">
      <c r="A111" s="335"/>
      <c r="B111" s="335">
        <v>2</v>
      </c>
    </row>
    <row r="112" spans="1:2">
      <c r="A112" s="335"/>
      <c r="B112" s="335">
        <v>5.3477429999999995</v>
      </c>
    </row>
    <row r="113" spans="1:2">
      <c r="A113" s="335"/>
      <c r="B113" s="335">
        <v>0</v>
      </c>
    </row>
    <row r="114" spans="1:2">
      <c r="A114" s="335"/>
      <c r="B114" s="335">
        <v>0</v>
      </c>
    </row>
    <row r="115" spans="1:2">
      <c r="A115" s="335"/>
      <c r="B115" s="335"/>
    </row>
    <row r="116" spans="1:2">
      <c r="A116" s="335"/>
      <c r="B116" s="335"/>
    </row>
    <row r="117" spans="1:2">
      <c r="A117" s="335"/>
      <c r="B117" s="335"/>
    </row>
    <row r="118" spans="1:2">
      <c r="A118" s="335"/>
      <c r="B118" t="s" s="335">
        <v>445</v>
      </c>
    </row>
    <row r="119" spans="1:2">
      <c r="A119" s="335"/>
      <c r="B119" s="335">
        <v>1</v>
      </c>
    </row>
    <row r="120" spans="1:2">
      <c r="A120" s="335"/>
      <c r="B120" s="335">
        <v>1</v>
      </c>
    </row>
    <row r="121" spans="1:2">
      <c r="A121" s="335"/>
      <c r="B121" s="335">
        <v>4.910188</v>
      </c>
    </row>
    <row r="122" spans="1:2">
      <c r="A122" s="335"/>
      <c r="B122" s="335">
        <v>0</v>
      </c>
    </row>
    <row r="123" spans="1:2">
      <c r="A123" s="335"/>
      <c r="B123" s="335">
        <v>0</v>
      </c>
    </row>
    <row r="124" spans="1:2">
      <c r="A124" s="335"/>
      <c r="B124" s="335"/>
    </row>
    <row r="125" spans="1:2">
      <c r="A125" s="335"/>
      <c r="B125" s="335"/>
    </row>
    <row r="126" spans="1:2">
      <c r="A126" s="335"/>
      <c r="B126" s="335"/>
    </row>
    <row r="127" spans="1:2">
      <c r="A127" s="335"/>
      <c r="B127" s="335"/>
    </row>
    <row r="128" spans="1:2">
      <c r="A128" s="335"/>
      <c r="B128" s="335"/>
    </row>
    <row r="129" spans="1:2">
      <c r="A129" s="335"/>
      <c r="B129" s="335"/>
    </row>
    <row r="130" spans="1:2">
      <c r="A130" s="335"/>
      <c r="B130" s="335"/>
    </row>
    <row r="131" spans="1:2">
      <c r="A131" s="335"/>
      <c r="B131" s="335"/>
    </row>
    <row r="132" spans="1:2">
      <c r="A132" s="335"/>
      <c r="B132" s="335"/>
    </row>
    <row r="133" spans="1:2">
      <c r="A133" s="335"/>
      <c r="B133" s="335"/>
    </row>
    <row r="134" spans="1:2">
      <c r="A134" s="335"/>
      <c r="B134" s="335"/>
    </row>
    <row r="135" spans="1:2">
      <c r="A135" s="335"/>
      <c r="B135" s="335"/>
    </row>
    <row r="136" spans="1:2">
      <c r="A136" s="335"/>
      <c r="B136" s="335"/>
    </row>
    <row r="137" spans="1:2">
      <c r="A137" s="335"/>
      <c r="B137" s="335"/>
    </row>
    <row r="138" spans="1:2">
      <c r="A138" s="335"/>
      <c r="B138" s="335"/>
    </row>
    <row r="139" spans="1:2">
      <c r="A139" s="335"/>
      <c r="B139" s="335"/>
    </row>
    <row r="140" spans="1:2">
      <c r="A140" s="335"/>
      <c r="B140" s="335"/>
    </row>
    <row r="141" spans="1:2">
      <c r="A141" s="335"/>
      <c r="B141" s="335"/>
    </row>
    <row r="142" spans="1:2">
      <c r="A142" s="335"/>
      <c r="B142" s="335"/>
    </row>
    <row r="143" spans="1:2">
      <c r="A143" s="335"/>
      <c r="B143" s="335"/>
    </row>
    <row r="144" spans="1:2">
      <c r="A144" s="335"/>
      <c r="B144" s="335"/>
    </row>
    <row r="145" spans="1:2">
      <c r="A145" s="335"/>
      <c r="B145" s="335"/>
    </row>
    <row r="146" spans="1:2">
      <c r="A146" s="335"/>
      <c r="B146" s="335"/>
    </row>
    <row r="147" spans="1:2">
      <c r="A147" s="335"/>
      <c r="B147" s="335"/>
    </row>
    <row r="148" spans="1:2">
      <c r="A148" s="335"/>
      <c r="B148" s="335"/>
    </row>
    <row r="149" spans="1:2">
      <c r="A149" s="335"/>
      <c r="B149" s="335"/>
    </row>
    <row r="150" spans="1:2">
      <c r="A150" s="335"/>
      <c r="B150" s="335"/>
    </row>
    <row r="151" spans="1:2">
      <c r="A151" s="335"/>
      <c r="B151" s="335"/>
    </row>
  </sheetData>
  <sortState xmlns:xlrd2="http://schemas.microsoft.com/office/spreadsheetml/2017/richdata2" ref="A1:B151">
    <sortCondition ref="A1:A151"/>
  </sortState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3FC35-06F3-41DF-BD69-53D3A27A4372}">
  <sheetPr/>
  <sheetViews>
    <sheetView workbookViewId="0">
      <selection activeCell="B2" sqref="B2:B16"/>
    </sheetView>
  </sheetViews>
  <sheetFormatPr defaultRowHeight="12.75"/>
  <cols>
    <col min="1" max="1" width="96.28515625" style="8" customWidth="1"/>
    <col min="2" max="2" width="14.42578125" style="317" bestFit="1" customWidth="1"/>
  </cols>
  <sheetData>
    <row r="1" spans="1:2" ht="18">
      <c r="A1" t="s" s="597">
        <v>394</v>
      </c>
      <c r="B1" t="s" s="598">
        <v>395</v>
      </c>
    </row>
    <row r="2" spans="1:2" ht="19.5" customHeight="1">
      <c r="A2" t="s" s="599">
        <v>382</v>
      </c>
      <c r="B2" s="600">
        <v>107763</v>
      </c>
    </row>
    <row r="3" spans="1:2" ht="15">
      <c r="A3" t="s" s="601">
        <v>387</v>
      </c>
      <c r="B3" s="602">
        <v>89139</v>
      </c>
    </row>
    <row r="4" spans="1:2" ht="15">
      <c r="A4" t="s" s="603">
        <v>383</v>
      </c>
      <c r="B4" s="604">
        <v>87759</v>
      </c>
    </row>
    <row r="5" spans="1:2" ht="15">
      <c r="A5" t="s" s="605">
        <v>384</v>
      </c>
      <c r="B5" s="606">
        <v>85119</v>
      </c>
    </row>
    <row r="6" spans="1:2" ht="15">
      <c r="A6" t="s" s="607">
        <v>388</v>
      </c>
      <c r="B6" s="608">
        <v>83474</v>
      </c>
    </row>
    <row r="7" spans="1:2" ht="15">
      <c r="A7" t="s" s="609">
        <v>386</v>
      </c>
      <c r="B7" s="610">
        <v>81083</v>
      </c>
    </row>
    <row r="8" spans="1:2" ht="15">
      <c r="A8" t="s" s="611">
        <v>381</v>
      </c>
      <c r="B8" s="612">
        <v>78930</v>
      </c>
    </row>
    <row r="9" spans="1:2" ht="15">
      <c r="A9" t="s" s="613">
        <v>389</v>
      </c>
      <c r="B9" s="614">
        <v>78537</v>
      </c>
    </row>
    <row r="10" spans="1:2" ht="15">
      <c r="A10" t="s" s="615">
        <v>390</v>
      </c>
      <c r="B10" s="616">
        <v>72882</v>
      </c>
    </row>
    <row r="11" spans="1:2" ht="15">
      <c r="A11" t="s" s="617">
        <v>385</v>
      </c>
      <c r="B11" s="618">
        <v>70978</v>
      </c>
    </row>
    <row r="12" spans="1:2" ht="15">
      <c r="A12" t="s" s="619">
        <v>392</v>
      </c>
      <c r="B12" s="620">
        <v>51982</v>
      </c>
    </row>
    <row r="13" spans="1:2" ht="15">
      <c r="A13" t="s" s="621">
        <v>461</v>
      </c>
      <c r="B13" s="622">
        <v>49232</v>
      </c>
    </row>
    <row r="14" spans="1:2" ht="15">
      <c r="A14" t="s" s="623">
        <v>436</v>
      </c>
      <c r="B14" s="624">
        <v>48828</v>
      </c>
    </row>
    <row r="15" spans="1:2" ht="15">
      <c r="A15" t="s" s="625">
        <v>393</v>
      </c>
      <c r="B15" s="626">
        <v>35638</v>
      </c>
    </row>
    <row r="16" spans="1:2" ht="15">
      <c r="A16" t="s" s="627">
        <v>391</v>
      </c>
      <c r="B16" s="628">
        <v>35155</v>
      </c>
    </row>
    <row r="22" spans="2:2">
      <c r="B22" t="s" s="317">
        <v>396</v>
      </c>
    </row>
  </sheetData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CFC8F-E22A-4C0B-B6F1-5ABAEAAE43FB}">
  <sheetPr/>
  <sheetViews>
    <sheetView workbookViewId="0">
      <selection activeCell="H4" sqref="H4"/>
    </sheetView>
  </sheetViews>
  <sheetFormatPr defaultRowHeight="12.75"/>
  <cols>
    <col min="1" max="1" width="34" customWidth="1"/>
    <col min="2" max="2" width="16.7109375" customWidth="1"/>
    <col min="3" max="3" width="13.85546875" bestFit="1" customWidth="1"/>
    <col min="4" max="4" width="18" style="2" bestFit="1" customWidth="1"/>
  </cols>
  <sheetData>
    <row r="1" spans="1:4" ht="14.25">
      <c r="A1" t="s" s="315">
        <v>378</v>
      </c>
      <c r="B1" t="s" s="315">
        <v>278</v>
      </c>
      <c r="C1" t="s" s="315">
        <v>379</v>
      </c>
      <c r="D1" t="s" s="316">
        <v>380</v>
      </c>
    </row>
    <row r="2" spans="1:4" ht="15">
      <c r="A2" t="s" s="653">
        <v>414</v>
      </c>
      <c r="B2" s="654">
        <v>1175</v>
      </c>
      <c r="C2" s="655">
        <v>1584</v>
      </c>
      <c r="D2" s="656">
        <v>1.3480851063829786</v>
      </c>
    </row>
    <row r="3" spans="1:4" ht="15">
      <c r="A3" t="s" s="657">
        <v>415</v>
      </c>
      <c r="B3" s="658">
        <v>504</v>
      </c>
      <c r="C3" s="659">
        <v>1565</v>
      </c>
      <c r="D3" s="660">
        <v>3.1051587301587302</v>
      </c>
    </row>
    <row r="4" spans="1:4" ht="15">
      <c r="A4" t="s" s="661">
        <v>417</v>
      </c>
      <c r="B4" s="662">
        <v>229</v>
      </c>
      <c r="C4" s="663">
        <v>396</v>
      </c>
      <c r="D4" s="664">
        <v>1.7292576419213974</v>
      </c>
    </row>
    <row r="5" spans="1:4" ht="15">
      <c r="A5" t="s" s="665">
        <v>418</v>
      </c>
      <c r="B5" s="666">
        <v>43</v>
      </c>
      <c r="C5" s="667">
        <v>49</v>
      </c>
      <c r="D5" s="668">
        <v>1.1395348837209303</v>
      </c>
    </row>
    <row r="6" spans="1:4" ht="15">
      <c r="A6" t="s" s="669">
        <v>416</v>
      </c>
      <c r="B6" s="670">
        <v>26</v>
      </c>
      <c r="C6" s="671">
        <v>44</v>
      </c>
      <c r="D6" s="672">
        <v>1.6923076923076923</v>
      </c>
    </row>
    <row r="7" spans="1:4" ht="15">
      <c r="A7" t="s" s="673">
        <v>619</v>
      </c>
      <c r="B7" s="674">
        <v>2</v>
      </c>
      <c r="C7" s="675">
        <v>3</v>
      </c>
      <c r="D7" s="676">
        <v>1.5</v>
      </c>
    </row>
    <row r="8" spans="1:4" ht="15">
      <c r="A8" t="s" s="677">
        <v>517</v>
      </c>
      <c r="B8" s="678">
        <v>2</v>
      </c>
      <c r="C8" s="679">
        <v>2</v>
      </c>
      <c r="D8" s="680">
        <v>1</v>
      </c>
    </row>
    <row r="9" spans="1:4" ht="15">
      <c r="A9" t="s" s="681">
        <v>518</v>
      </c>
      <c r="B9" s="682">
        <v>1</v>
      </c>
      <c r="C9" s="683">
        <v>1</v>
      </c>
      <c r="D9" s="684">
        <v>1</v>
      </c>
    </row>
    <row r="10" spans="1:4" ht="15">
      <c r="A10" t="s" s="685">
        <v>620</v>
      </c>
      <c r="B10" s="686">
        <v>1</v>
      </c>
      <c r="C10" s="687">
        <v>1</v>
      </c>
      <c r="D10" s="688">
        <v>1</v>
      </c>
    </row>
    <row r="11" spans="1:4" ht="15">
      <c r="A11" t="s" s="383">
        <v>466</v>
      </c>
      <c r="B11" s="384">
        <v>1</v>
      </c>
      <c r="C11" s="385">
        <v>1</v>
      </c>
      <c r="D11" s="386">
        <v>1</v>
      </c>
    </row>
    <row r="12" spans="1:4">
      <c r="A12" s="9"/>
      <c r="B12" s="9"/>
      <c r="C12" s="9"/>
      <c r="D12" s="11"/>
    </row>
    <row r="13" spans="1:4">
      <c r="A13" s="9"/>
      <c r="B13" s="9"/>
      <c r="C13" s="9"/>
      <c r="D13" s="11"/>
    </row>
    <row r="14" spans="1:4">
      <c r="A14" s="9"/>
      <c r="B14" s="9"/>
      <c r="C14" s="9"/>
      <c r="D14" s="11"/>
    </row>
    <row r="15" spans="1:4">
      <c r="A15" s="9"/>
      <c r="B15" s="9"/>
      <c r="C15" s="9"/>
      <c r="D15" s="11"/>
    </row>
    <row r="16" spans="1:4">
      <c r="A16" s="9"/>
      <c r="B16" s="9"/>
      <c r="C16" s="9"/>
      <c r="D16" s="11"/>
    </row>
    <row r="17" spans="1:4">
      <c r="A17" s="9"/>
      <c r="B17" s="9"/>
      <c r="C17" s="9"/>
      <c r="D17" s="11"/>
    </row>
    <row r="18" spans="1:4">
      <c r="A18" s="9"/>
      <c r="B18" s="9"/>
      <c r="C18" s="9"/>
      <c r="D18" s="11"/>
    </row>
  </sheetData>
  <autoFilter ref="A1:D10" xr:uid="{2045F8F0-4821-47C0-8409-58E31FC08EF7}"/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7920B-7222-43F6-96EE-83E30AB0BBC4}">
  <sheetPr/>
  <sheetViews>
    <sheetView topLeftCell="A4" workbookViewId="0">
      <selection activeCell="E48" sqref="E48"/>
    </sheetView>
  </sheetViews>
  <sheetFormatPr defaultRowHeight="12.75"/>
  <cols>
    <col min="1" max="1" width="28.5703125" bestFit="1" customWidth="1"/>
    <col min="2" max="2" width="19" bestFit="1" customWidth="1"/>
    <col min="3" max="3" width="23.7109375" bestFit="1" customWidth="1"/>
    <col min="4" max="4" width="14.85546875" bestFit="1" customWidth="1"/>
    <col min="5" max="6" width="18.42578125" bestFit="1" customWidth="1"/>
    <col min="7" max="8" width="25.7109375" bestFit="1" customWidth="1"/>
    <col min="9" max="9" width="16.140625" bestFit="1" customWidth="1"/>
  </cols>
  <sheetData>
    <row r="1" spans="1:9">
      <c r="A1" t="s" s="595">
        <v>197</v>
      </c>
      <c r="B1" s="596"/>
      <c r="C1" s="596"/>
      <c r="D1" s="596"/>
      <c r="E1" s="596"/>
      <c r="F1" s="596"/>
      <c r="G1" s="596"/>
      <c r="H1" s="596"/>
      <c r="I1" s="596"/>
    </row>
    <row r="2" spans="1:9">
      <c r="A2" s="596"/>
      <c r="B2" s="596"/>
      <c r="C2" s="596"/>
      <c r="D2" s="596"/>
      <c r="E2" s="596"/>
      <c r="F2" s="596"/>
      <c r="G2" s="596"/>
      <c r="H2" s="596"/>
      <c r="I2" s="596"/>
    </row>
    <row r="3" spans="1:9">
      <c r="A3" s="596"/>
      <c r="B3" s="596"/>
      <c r="C3" s="596"/>
      <c r="D3" s="596"/>
      <c r="E3" s="596"/>
      <c r="F3" s="596"/>
      <c r="G3" s="596"/>
      <c r="H3" s="596"/>
      <c r="I3" s="596"/>
    </row>
    <row r="4" spans="1:9">
      <c r="A4" t="s">
        <v>198</v>
      </c>
      <c r="B4" t="s">
        <v>199</v>
      </c>
      <c r="C4" t="s">
        <v>200</v>
      </c>
      <c r="D4" t="s">
        <v>201</v>
      </c>
      <c r="E4" t="s">
        <v>202</v>
      </c>
      <c r="F4" t="s">
        <v>203</v>
      </c>
      <c r="G4" t="s" s="64">
        <v>204</v>
      </c>
      <c r="H4" t="s">
        <v>205</v>
      </c>
      <c r="I4" t="s" s="65">
        <v>206</v>
      </c>
    </row>
    <row r="5" spans="1:9">
      <c r="A5" s="66">
        <v>1</v>
      </c>
      <c r="B5" t="s" s="66">
        <v>207</v>
      </c>
      <c r="C5" s="67">
        <v>6.8</v>
      </c>
      <c r="D5" s="68">
        <v>0.5619</v>
      </c>
      <c r="E5" s="69">
        <v>0.001423611111111111</v>
      </c>
      <c r="F5" s="70">
        <v>5582723</v>
      </c>
      <c r="G5" s="71">
        <f>Table1879101112131415161718192021222324252627282930313233343536373839404142434448495152535455565758596263646568697071[[#This Row],[Total Pageviews]]/30</f>
      </c>
      <c r="H5" s="70">
        <v>2721899</v>
      </c>
      <c r="I5" s="72">
        <f>Table1879101112131415161718192021222324252627282930313233343536373839404142434448495152535455565758596263646568697071[[#This Row],[Total Unique Pageviews]]/30</f>
      </c>
    </row>
    <row r="6" spans="1:9">
      <c r="A6" s="66">
        <v>2</v>
      </c>
      <c r="B6" t="s" s="66">
        <v>208</v>
      </c>
      <c r="C6" s="73">
        <v>4.8</v>
      </c>
      <c r="D6" s="68">
        <f>TEXT(B25*100, "0.00") &amp; "%"</f>
      </c>
      <c r="E6" s="69">
        <f>TEXT(INT(C25/3600), "00") &amp; ":" &amp; TEXT(INT(MOD(C25, 3600)/60), "00") &amp; ":" &amp; TEXT(MOD(C25, 60), "00")</f>
      </c>
      <c r="F6">
        <v>448494</v>
      </c>
      <c r="G6" s="71">
        <f>Table1879101112131415161718192021222324252627282930313233343536373839404142434448495152535455565758596263646568697071[[#This Row],[Total Pageviews]]/30</f>
      </c>
      <c r="H6">
        <v>247711</v>
      </c>
      <c r="I6" s="72">
        <f>Table1879101112131415161718192021222324252627282930313233343536373839404142434448495152535455565758596263646568697071[[#This Row],[Total Unique Pageviews]]/30</f>
      </c>
    </row>
    <row r="7" spans="1:9">
      <c r="A7" s="66">
        <v>3</v>
      </c>
      <c r="B7" t="s" s="66">
        <v>209</v>
      </c>
      <c r="C7" s="73">
        <v>7.6</v>
      </c>
      <c r="D7" s="74">
        <v>0.3368</v>
      </c>
      <c r="E7" s="73">
        <f>TEXT(INT(C40/3600), "00") &amp; ":" &amp; TEXT(INT(MOD(C40, 3600)/60), "00") &amp; ":" &amp; TEXT(MOD(C40, 60), "00")</f>
      </c>
      <c r="F7" s="75">
        <f>AVERAGE(F8:F19)</f>
      </c>
      <c r="G7" s="71">
        <f>Table1879101112131415161718192021222324252627282930313233343536373839404142434448495152535455565758596263646568697071[[#This Row],[Total Pageviews]]/30</f>
      </c>
      <c r="H7" s="75">
        <f>AVERAGE(H8:H19)</f>
      </c>
      <c r="I7" s="72">
        <f>Table1879101112131415161718192021222324252627282930313233343536373839404142434448495152535455565758596263646568697071[[#This Row],[Total Unique Pageviews]]/30</f>
      </c>
    </row>
    <row r="8" spans="1:9">
      <c r="A8" s="66">
        <v>3.1</v>
      </c>
      <c r="B8" t="s" s="76">
        <v>190</v>
      </c>
      <c r="C8" s="73">
        <v>9</v>
      </c>
      <c r="D8" s="68">
        <f>TEXT(B26*100, "0.00") &amp; "%"</f>
      </c>
      <c r="E8" s="73">
        <f>TEXT(INT(C26/3600), "00") &amp; ":" &amp; TEXT(INT(MOD(C26, 3600)/60), "00") &amp; ":" &amp; TEXT(MOD(C26, 60), "00")</f>
      </c>
      <c r="F8" s="73">
        <v>38649</v>
      </c>
      <c r="G8" s="71">
        <f>Table1879101112131415161718192021222324252627282930313233343536373839404142434448495152535455565758596263646568697071[[#This Row],[Total Pageviews]]/30</f>
      </c>
      <c r="H8">
        <v>28688</v>
      </c>
      <c r="I8" s="72">
        <f>Table1879101112131415161718192021222324252627282930313233343536373839404142434448495152535455565758596263646568697071[[#This Row],[Total Unique Pageviews]]/30</f>
      </c>
    </row>
    <row r="9" spans="1:9">
      <c r="A9" s="66">
        <v>3.2</v>
      </c>
      <c r="B9" t="s" s="77">
        <v>186</v>
      </c>
      <c r="C9" s="73">
        <v>8.9</v>
      </c>
      <c r="D9" s="68">
        <f>TEXT(B27*100, "0.00") &amp; "%"</f>
      </c>
      <c r="E9" s="73">
        <f>TEXT(INT(C27/3600), "00") &amp; ":" &amp; TEXT(INT(MOD(C27, 3600)/60), "00") &amp; ":" &amp; TEXT(MOD(C27, 60), "00")</f>
      </c>
      <c r="F9" s="73">
        <v>231412</v>
      </c>
      <c r="G9" s="71">
        <f>Table1879101112131415161718192021222324252627282930313233343536373839404142434448495152535455565758596263646568697071[[#This Row],[Total Pageviews]]/30</f>
      </c>
      <c r="H9">
        <v>174732</v>
      </c>
      <c r="I9" s="72">
        <f>Table1879101112131415161718192021222324252627282930313233343536373839404142434448495152535455565758596263646568697071[[#This Row],[Total Unique Pageviews]]/30</f>
      </c>
    </row>
    <row r="10" spans="1:9">
      <c r="A10" s="66">
        <v>3.3</v>
      </c>
      <c r="B10" t="s" s="78">
        <v>188</v>
      </c>
      <c r="C10" s="73">
        <v>6.8</v>
      </c>
      <c r="D10" s="68">
        <f>TEXT(B28*100, "0.00") &amp; "%"</f>
      </c>
      <c r="E10" s="73">
        <f t="shared" ref="E10:E21" si="0">TEXT(INT(C28/3600), "00") &amp; ":" &amp; TEXT(INT(MOD(C28, 3600)/60), "00") &amp; ":" &amp; TEXT(MOD(C28, 60), "00")</f>
      </c>
      <c r="F10" s="73">
        <v>45031</v>
      </c>
      <c r="G10" s="71">
        <f>Table1879101112131415161718192021222324252627282930313233343536373839404142434448495152535455565758596263646568697071[[#This Row],[Total Pageviews]]/30</f>
      </c>
      <c r="H10">
        <v>32702</v>
      </c>
      <c r="I10" s="72">
        <f>Table1879101112131415161718192021222324252627282930313233343536373839404142434448495152535455565758596263646568697071[[#This Row],[Total Unique Pageviews]]/30</f>
      </c>
    </row>
    <row r="11" spans="1:9">
      <c r="A11" s="66">
        <v>3.4</v>
      </c>
      <c r="B11" t="s" s="79">
        <v>173</v>
      </c>
      <c r="C11" s="73">
        <v>9.2</v>
      </c>
      <c r="D11" s="68">
        <f t="shared" ref="D11:D21" si="1">TEXT(B29*100, "0.00") &amp; "%"</f>
      </c>
      <c r="E11" s="73">
        <f t="shared" si="0"/>
      </c>
      <c r="F11" s="73">
        <v>563690</v>
      </c>
      <c r="G11" s="71">
        <f>Table1879101112131415161718192021222324252627282930313233343536373839404142434448495152535455565758596263646568697071[[#This Row],[Total Pageviews]]/30</f>
      </c>
      <c r="H11">
        <v>432835</v>
      </c>
      <c r="I11" s="72">
        <f>Table1879101112131415161718192021222324252627282930313233343536373839404142434448495152535455565758596263646568697071[[#This Row],[Total Unique Pageviews]]/30</f>
      </c>
    </row>
    <row r="12" spans="1:9">
      <c r="A12" s="66">
        <v>3.5</v>
      </c>
      <c r="B12" t="s" s="77">
        <v>185</v>
      </c>
      <c r="C12" s="67">
        <v>7.7</v>
      </c>
      <c r="D12" s="68">
        <f t="shared" si="1"/>
      </c>
      <c r="E12" s="73">
        <f t="shared" si="0"/>
      </c>
      <c r="F12" s="73">
        <v>183825</v>
      </c>
      <c r="G12" s="71">
        <f>Table1879101112131415161718192021222324252627282930313233343536373839404142434448495152535455565758596263646568697071[[#This Row],[Total Pageviews]]/30</f>
      </c>
      <c r="H12">
        <v>155711</v>
      </c>
      <c r="I12" s="72">
        <f>Table1879101112131415161718192021222324252627282930313233343536373839404142434448495152535455565758596263646568697071[[#This Row],[Total Unique Pageviews]]/30</f>
      </c>
    </row>
    <row r="13" spans="1:9">
      <c r="A13" s="66">
        <v>3.6</v>
      </c>
      <c r="B13" t="s" s="77">
        <v>210</v>
      </c>
      <c r="C13" s="73">
        <v>8.3</v>
      </c>
      <c r="D13" s="68">
        <f>TEXT(B31*100, "0.00") &amp; "%"</f>
      </c>
      <c r="E13" s="73">
        <f>TEXT(INT(C31/3600), "00") &amp; ":" &amp; TEXT(INT(MOD(C31, 3600)/60), "00") &amp; ":" &amp; TEXT(MOD(C31, 60), "00")</f>
      </c>
      <c r="F13" s="73">
        <v>264319</v>
      </c>
      <c r="G13" s="71">
        <f>Table1879101112131415161718192021222324252627282930313233343536373839404142434448495152535455565758596263646568697071[[#This Row],[Total Pageviews]]/30</f>
      </c>
      <c r="H13">
        <v>182457</v>
      </c>
      <c r="I13" s="72">
        <f>Table1879101112131415161718192021222324252627282930313233343536373839404142434448495152535455565758596263646568697071[[#This Row],[Total Unique Pageviews]]/30</f>
      </c>
    </row>
    <row r="14" spans="1:9">
      <c r="A14" s="66">
        <v>3.7</v>
      </c>
      <c r="B14" t="s" s="78">
        <v>181</v>
      </c>
      <c r="C14" s="80">
        <v>7.8</v>
      </c>
      <c r="D14" s="68">
        <f t="shared" si="1"/>
      </c>
      <c r="E14" s="80">
        <f>TEXT(INT(C32/3600), "00") &amp; ":" &amp; TEXT(INT(MOD(C32, 3600)/60), "00") &amp; ":" &amp; TEXT(MOD(C32, 60), "00")</f>
      </c>
      <c r="F14" s="81">
        <v>290309</v>
      </c>
      <c r="G14" s="82">
        <f>Table1879101112131415161718192021222324252627282930313233343536373839404142434448495152535455565758596263646568697071[[#This Row],[Total Pageviews]]/30</f>
      </c>
      <c r="H14">
        <v>242887</v>
      </c>
      <c r="I14" s="83">
        <f>Table1879101112131415161718192021222324252627282930313233343536373839404142434448495152535455565758596263646568697071[[#This Row],[Total Unique Pageviews]]/30</f>
      </c>
    </row>
    <row r="15" spans="1:9">
      <c r="A15" s="66">
        <v>3.8</v>
      </c>
      <c r="B15" t="s" s="79">
        <v>211</v>
      </c>
      <c r="C15" s="73">
        <v>6</v>
      </c>
      <c r="D15" s="68">
        <f t="shared" si="1"/>
      </c>
      <c r="E15" s="73">
        <f t="shared" si="0"/>
      </c>
      <c r="F15" s="73">
        <v>36637</v>
      </c>
      <c r="G15" s="71">
        <f>Table1879101112131415161718192021222324252627282930313233343536373839404142434448495152535455565758596263646568697071[[#This Row],[Total Pageviews]]/30</f>
      </c>
      <c r="H15">
        <v>27307</v>
      </c>
      <c r="I15" s="72">
        <f>Table1879101112131415161718192021222324252627282930313233343536373839404142434448495152535455565758596263646568697071[[#This Row],[Total Unique Pageviews]]/30</f>
      </c>
    </row>
    <row r="16" spans="1:9">
      <c r="A16" s="66">
        <v>3.9</v>
      </c>
      <c r="B16" t="s" s="77">
        <v>177</v>
      </c>
      <c r="C16" s="73">
        <v>5.6</v>
      </c>
      <c r="D16" s="68">
        <f t="shared" si="1"/>
      </c>
      <c r="E16" s="73">
        <f t="shared" si="0"/>
      </c>
      <c r="F16" s="73">
        <v>36542</v>
      </c>
      <c r="G16" s="71">
        <f>Table1879101112131415161718192021222324252627282930313233343536373839404142434448495152535455565758596263646568697071[[#This Row],[Total Pageviews]]/30</f>
      </c>
      <c r="H16">
        <v>26669</v>
      </c>
      <c r="I16" s="72">
        <f>Table1879101112131415161718192021222324252627282930313233343536373839404142434448495152535455565758596263646568697071[[#This Row],[Total Unique Pageviews]]/30</f>
      </c>
    </row>
    <row r="17" spans="1:9">
      <c r="A17" s="84">
        <v>3.1</v>
      </c>
      <c r="B17" t="s" s="79">
        <v>212</v>
      </c>
      <c r="C17" s="73">
        <v>6.7</v>
      </c>
      <c r="D17" s="68">
        <f t="shared" si="1"/>
      </c>
      <c r="E17" s="73">
        <f t="shared" si="0"/>
      </c>
      <c r="F17" s="73">
        <v>352173</v>
      </c>
      <c r="G17" s="71">
        <f>Table1879101112131415161718192021222324252627282930313233343536373839404142434448495152535455565758596263646568697071[[#This Row],[Total Pageviews]]/30</f>
      </c>
      <c r="H17">
        <v>244231</v>
      </c>
      <c r="I17" s="72">
        <f>Table1879101112131415161718192021222324252627282930313233343536373839404142434448495152535455565758596263646568697071[[#This Row],[Total Unique Pageviews]]/30</f>
      </c>
    </row>
    <row r="18" spans="1:9">
      <c r="A18" s="84">
        <v>3.11</v>
      </c>
      <c r="B18" t="s" s="77">
        <v>213</v>
      </c>
      <c r="C18" s="73">
        <v>7.3</v>
      </c>
      <c r="D18" s="68">
        <f t="shared" si="1"/>
      </c>
      <c r="E18" s="73">
        <f t="shared" si="0"/>
      </c>
      <c r="F18" s="73">
        <v>92195</v>
      </c>
      <c r="G18" s="71">
        <f>Table1879101112131415161718192021222324252627282930313233343536373839404142434448495152535455565758596263646568697071[[#This Row],[Total Pageviews]]/30</f>
      </c>
      <c r="H18">
        <v>57189</v>
      </c>
      <c r="I18" s="72">
        <f>Table1879101112131415161718192021222324252627282930313233343536373839404142434448495152535455565758596263646568697071[[#This Row],[Total Unique Pageviews]]/30</f>
      </c>
    </row>
    <row r="19" spans="1:9">
      <c r="A19" s="84">
        <v>3.12</v>
      </c>
      <c r="B19" t="s" s="77">
        <v>192</v>
      </c>
      <c r="C19" s="67">
        <v>8.7</v>
      </c>
      <c r="D19" s="68">
        <f t="shared" si="1"/>
      </c>
      <c r="E19" s="73">
        <f t="shared" si="0"/>
      </c>
      <c r="F19" s="73">
        <v>1228913</v>
      </c>
      <c r="G19" s="71">
        <f>Table1879101112131415161718192021222324252627282930313233343536373839404142434448495152535455565758596263646568697071[[#This Row],[Total Pageviews]]/30</f>
      </c>
      <c r="H19">
        <v>845472</v>
      </c>
      <c r="I19" s="72">
        <f>Table1879101112131415161718192021222324252627282930313233343536373839404142434448495152535455565758596263646568697071[[#This Row],[Total Unique Pageviews]]/30</f>
      </c>
    </row>
    <row r="20" spans="1:9">
      <c r="A20" s="66">
        <v>4</v>
      </c>
      <c r="B20" t="s" s="66">
        <v>214</v>
      </c>
      <c r="C20" s="73">
        <v>2.8</v>
      </c>
      <c r="D20" s="68">
        <f>TEXT(B38*100, "0.00") &amp; "%"</f>
      </c>
      <c r="E20" s="73">
        <f>TEXT(INT(C38/3600), "00") &amp; ":" &amp; TEXT(INT(MOD(C38, 3600)/60), "00") &amp; ":" &amp; TEXT(MOD(C38, 60), "00")</f>
      </c>
      <c r="F20" s="73">
        <v>8211</v>
      </c>
      <c r="G20" s="71">
        <f>Table1879101112131415161718192021222324252627282930313233343536373839404142434448495152535455565758596263646568697071[[#This Row],[Total Pageviews]]/30</f>
      </c>
      <c r="H20">
        <v>6276</v>
      </c>
      <c r="I20" s="72">
        <f>Table1879101112131415161718192021222324252627282930313233343536373839404142434448495152535455565758596263646568697071[[#This Row],[Total Unique Pageviews]]/30</f>
      </c>
    </row>
    <row r="21" spans="1:9">
      <c r="A21" s="66">
        <v>5</v>
      </c>
      <c r="B21" t="s" s="66">
        <v>215</v>
      </c>
      <c r="C21" s="73">
        <v>2.9</v>
      </c>
      <c r="D21" s="68">
        <f t="shared" si="1"/>
      </c>
      <c r="E21" s="73">
        <f t="shared" si="0"/>
      </c>
      <c r="F21" s="73">
        <v>12025</v>
      </c>
      <c r="G21" s="71">
        <f>Table1879101112131415161718192021222324252627282930313233343536373839404142434448495152535455565758596263646568697071[[#This Row],[Total Pageviews]]/30</f>
      </c>
      <c r="H21" s="73">
        <v>9056</v>
      </c>
      <c r="I21" s="72">
        <f>Table1879101112131415161718192021222324252627282930313233343536373839404142434448495152535455565758596263646568697071[[#This Row],[Total Unique Pageviews]]/30</f>
      </c>
    </row>
    <row r="22" spans="1:9">
      <c r="G22" s="64"/>
      <c r="I22" s="65"/>
    </row>
    <row r="23" spans="1:9">
      <c r="G23" s="64"/>
      <c r="I23" s="65"/>
    </row>
    <row r="24" spans="1:9" ht="15">
      <c r="A24" t="s" s="85">
        <v>216</v>
      </c>
      <c r="B24" t="s" s="85">
        <v>217</v>
      </c>
      <c r="C24" t="s" s="85">
        <v>218</v>
      </c>
      <c r="D24" t="s" s="85">
        <v>167</v>
      </c>
      <c r="E24" t="s" s="85">
        <v>219</v>
      </c>
      <c r="G24" t="s" s="64">
        <v>220</v>
      </c>
      <c r="I24" s="65"/>
    </row>
    <row r="25" spans="1:9" ht="15">
      <c r="A25" s="85"/>
      <c r="B25">
        <v>0.155050795774538</v>
      </c>
      <c r="C25">
        <v>75.5820281312164</v>
      </c>
      <c r="D25">
        <v>448494</v>
      </c>
      <c r="E25" s="85"/>
      <c r="G25" s="64"/>
      <c r="I25" s="65"/>
    </row>
    <row r="26" spans="1:9">
      <c r="A26" t="s" s="8">
        <v>221</v>
      </c>
      <c r="B26">
        <v>0.119589049677378</v>
      </c>
      <c r="C26">
        <v>104.292182861523</v>
      </c>
      <c r="D26">
        <v>38649</v>
      </c>
      <c r="E26" s="86">
        <v>24018</v>
      </c>
      <c r="F26" s="4"/>
      <c r="G26">
        <v>19.41</v>
      </c>
      <c r="H26">
        <v>11.96</v>
      </c>
      <c r="I26" s="65"/>
    </row>
    <row r="27" spans="1:9">
      <c r="A27" t="s" s="8">
        <v>222</v>
      </c>
      <c r="B27">
        <v>0.484482627537443</v>
      </c>
      <c r="C27">
        <v>73.1988625036975</v>
      </c>
      <c r="D27">
        <v>231412</v>
      </c>
      <c r="E27" s="86">
        <v>54859</v>
      </c>
      <c r="G27">
        <v>21.93</v>
      </c>
      <c r="H27">
        <v>48.45</v>
      </c>
      <c r="I27" s="65"/>
    </row>
    <row r="28" spans="1:9">
      <c r="A28" t="s" s="8">
        <v>223</v>
      </c>
      <c r="B28">
        <v>0.099095384139584</v>
      </c>
      <c r="C28">
        <v>96.0715796441071</v>
      </c>
      <c r="D28">
        <v>45031</v>
      </c>
      <c r="E28" s="86">
        <v>23370</v>
      </c>
      <c r="G28">
        <v>16.51</v>
      </c>
      <c r="H28">
        <v>9.91</v>
      </c>
      <c r="I28" s="65"/>
    </row>
    <row r="29" spans="1:9">
      <c r="A29" t="s" s="8">
        <v>224</v>
      </c>
      <c r="B29">
        <v>0.64034770793162</v>
      </c>
      <c r="C29">
        <v>72.7579112997302</v>
      </c>
      <c r="D29">
        <v>563690</v>
      </c>
      <c r="E29" s="86">
        <v>39291</v>
      </c>
      <c r="G29">
        <v>23.31</v>
      </c>
      <c r="H29">
        <v>64.03</v>
      </c>
      <c r="I29" s="65"/>
    </row>
    <row r="30" spans="1:9">
      <c r="A30" t="s" s="8">
        <v>225</v>
      </c>
      <c r="B30">
        <v>0.375863725600678</v>
      </c>
      <c r="C30">
        <v>84.6539083251938</v>
      </c>
      <c r="D30">
        <v>183825</v>
      </c>
      <c r="E30" s="86">
        <v>35447</v>
      </c>
      <c r="G30" s="87">
        <v>26.83</v>
      </c>
      <c r="H30">
        <v>37.59</v>
      </c>
      <c r="I30" s="88"/>
    </row>
    <row r="31" spans="1:9">
      <c r="A31" t="s" s="8">
        <v>226</v>
      </c>
      <c r="B31">
        <v>0.268692737837197</v>
      </c>
      <c r="C31">
        <v>186.518064621919</v>
      </c>
      <c r="D31">
        <v>264319</v>
      </c>
      <c r="E31" s="86">
        <v>146848</v>
      </c>
      <c r="G31">
        <v>42.73</v>
      </c>
      <c r="H31">
        <v>26.87</v>
      </c>
      <c r="I31" s="65"/>
    </row>
    <row r="32" spans="1:9">
      <c r="A32" t="s" s="8">
        <v>227</v>
      </c>
      <c r="B32">
        <v>0.660245631707411</v>
      </c>
      <c r="C32">
        <v>59.1524298390531</v>
      </c>
      <c r="D32">
        <v>290309</v>
      </c>
      <c r="E32" s="86">
        <v>55622</v>
      </c>
      <c r="G32">
        <v>21.65</v>
      </c>
      <c r="H32">
        <v>66.02</v>
      </c>
      <c r="I32" s="65"/>
    </row>
    <row r="33" spans="1:9">
      <c r="A33" t="s" s="8">
        <v>228</v>
      </c>
      <c r="B33">
        <v>0.115595861540426</v>
      </c>
      <c r="C33">
        <v>105.9217631079</v>
      </c>
      <c r="D33">
        <v>36637</v>
      </c>
      <c r="E33" s="86">
        <v>22626</v>
      </c>
      <c r="G33">
        <v>13.79</v>
      </c>
      <c r="H33">
        <v>11.56</v>
      </c>
      <c r="I33" s="65"/>
    </row>
    <row r="34" spans="1:9">
      <c r="A34" t="s" s="8">
        <v>229</v>
      </c>
      <c r="B34">
        <v>0.116071148476958</v>
      </c>
      <c r="C34">
        <v>194.559437593562</v>
      </c>
      <c r="D34">
        <v>36542</v>
      </c>
      <c r="E34" s="86">
        <v>28347</v>
      </c>
      <c r="G34">
        <v>12.97</v>
      </c>
      <c r="H34">
        <v>11.61</v>
      </c>
      <c r="I34" s="65"/>
    </row>
    <row r="35" spans="1:9">
      <c r="A35" t="s" s="8">
        <v>230</v>
      </c>
      <c r="B35">
        <v>0.375329151306272</v>
      </c>
      <c r="C35">
        <v>109.483648425636</v>
      </c>
      <c r="D35">
        <v>352173</v>
      </c>
      <c r="E35" s="86">
        <v>87350</v>
      </c>
      <c r="G35">
        <v>26.13</v>
      </c>
      <c r="H35">
        <v>37.53</v>
      </c>
      <c r="I35" s="65"/>
    </row>
    <row r="36" spans="1:9">
      <c r="A36" t="s" s="8">
        <v>231</v>
      </c>
      <c r="B36">
        <v>0.145850155114529</v>
      </c>
      <c r="C36">
        <v>135.535659043191</v>
      </c>
      <c r="D36">
        <v>92195</v>
      </c>
      <c r="E36" s="86">
        <v>79384</v>
      </c>
      <c r="G36">
        <v>18.24</v>
      </c>
      <c r="H36">
        <v>14.59</v>
      </c>
      <c r="I36" s="65"/>
    </row>
    <row r="37" spans="1:9">
      <c r="A37" t="s" s="8">
        <v>232</v>
      </c>
      <c r="B37">
        <v>0.641291489475005</v>
      </c>
      <c r="C37">
        <v>81.8619235801698</v>
      </c>
      <c r="D37">
        <v>1228913</v>
      </c>
      <c r="E37" s="86">
        <v>22132</v>
      </c>
      <c r="G37">
        <v>21.01</v>
      </c>
      <c r="H37">
        <v>64.13</v>
      </c>
      <c r="I37" s="65"/>
    </row>
    <row r="38" spans="1:9">
      <c r="A38" t="s" s="8">
        <v>233</v>
      </c>
      <c r="B38">
        <v>0.0589777195281782</v>
      </c>
      <c r="C38">
        <v>60.4354104850735</v>
      </c>
      <c r="D38">
        <v>8211</v>
      </c>
      <c r="E38" s="86">
        <v>4582</v>
      </c>
      <c r="G38" s="64"/>
      <c r="I38" s="65"/>
    </row>
    <row r="39" spans="1:9">
      <c r="A39" t="s" s="8">
        <v>234</v>
      </c>
      <c r="B39" s="86">
        <v>0.200103546466476</v>
      </c>
      <c r="C39" s="86">
        <v>115.48267555777</v>
      </c>
      <c r="D39" s="86">
        <v>12025</v>
      </c>
      <c r="E39" s="86">
        <v>9056</v>
      </c>
      <c r="G39" s="64"/>
      <c r="I39" s="65"/>
    </row>
    <row r="40" spans="1:9">
      <c r="B40" s="64"/>
      <c r="C40" s="64">
        <f>AVERAGE(C26:C37)</f>
      </c>
      <c r="F40" t="s">
        <v>235</v>
      </c>
      <c r="G40" s="64"/>
      <c r="I40" s="65"/>
    </row>
    <row r="41" spans="1:9">
      <c r="G41" s="64"/>
      <c r="I41" s="65"/>
    </row>
    <row r="42" spans="1:9">
      <c r="G42" s="64"/>
      <c r="I42" s="65"/>
    </row>
    <row r="43" spans="1:9">
      <c r="G43" s="64"/>
      <c r="I43" s="65"/>
    </row>
    <row r="44" spans="1:9">
      <c r="G44" s="64"/>
      <c r="I44" s="65"/>
    </row>
    <row r="45" spans="1:9">
      <c r="A45" t="s">
        <v>198</v>
      </c>
      <c r="B45" t="s">
        <v>199</v>
      </c>
      <c r="C45" t="s">
        <v>201</v>
      </c>
      <c r="D45" t="s">
        <v>202</v>
      </c>
      <c r="E45" t="s">
        <v>203</v>
      </c>
      <c r="F45" t="s" s="64">
        <v>204</v>
      </c>
      <c r="G45" t="s">
        <v>205</v>
      </c>
      <c r="H45" t="s" s="65">
        <v>206</v>
      </c>
    </row>
    <row r="46" spans="1:9">
      <c r="A46" s="73">
        <v>1</v>
      </c>
      <c r="B46" t="s" s="89">
        <v>207</v>
      </c>
      <c r="C46" s="68">
        <v>0.5452</v>
      </c>
      <c r="D46" s="69">
        <v>0.0016435185185185183</v>
      </c>
      <c r="E46" s="70">
        <v>18785585</v>
      </c>
      <c r="F46" s="71">
        <f>Table18791011121314151617181920212223242526272829303132333435363738394041424344484951525354555657585962636465686970713[[#This Row],[Total Pageviews]]/181</f>
      </c>
      <c r="G46" s="70">
        <v>7522783</v>
      </c>
      <c r="H46" s="71">
        <f>Table18791011121314151617181920212223242526272829303132333435363738394041424344484951525354555657585962636465686970713[[#This Row],[Total Unique Pageviews]]/181</f>
      </c>
    </row>
    <row r="47" spans="1:9">
      <c r="A47" s="73">
        <v>2</v>
      </c>
      <c r="B47" t="s" s="89">
        <v>208</v>
      </c>
      <c r="C47" s="68">
        <f>TEXT(B69*100, "0.00") &amp; "%"</f>
      </c>
      <c r="D47" s="69">
        <f>TEXT(INT(C69/3600), "00") &amp; ":" &amp; TEXT(INT(MOD(C69, 3600)/60), "00") &amp; ":" &amp; TEXT(MOD(C69, 60), "00")</f>
      </c>
      <c r="E47">
        <v>2535514</v>
      </c>
      <c r="F47" s="71">
        <f>Table18791011121314151617181920212223242526272829303132333435363738394041424344484951525354555657585962636465686970713[[#This Row],[Total Pageviews]]/181</f>
      </c>
      <c r="G47">
        <v>1482436</v>
      </c>
      <c r="H47" s="71">
        <f>Table18791011121314151617181920212223242526272829303132333435363738394041424344484951525354555657585962636465686970713[[#This Row],[Total Unique Pageviews]]/181</f>
      </c>
    </row>
    <row r="48" spans="1:9">
      <c r="A48" s="73">
        <v>3</v>
      </c>
      <c r="B48" t="s" s="89">
        <v>209</v>
      </c>
      <c r="C48" s="74">
        <v>0.343</v>
      </c>
      <c r="D48" s="73">
        <f>TEXT(INT(C85/3600), "00") &amp; ":" &amp; TEXT(INT(MOD(C85, 3600)/60), "00") &amp; ":" &amp; TEXT(MOD(C85, 60), "00")</f>
      </c>
      <c r="E48" s="75">
        <f>AVERAGE(E49:E60)</f>
      </c>
      <c r="F48" s="71">
        <f>Table18791011121314151617181920212223242526272829303132333435363738394041424344484951525354555657585962636465686970713[[#This Row],[Total Pageviews]]/181</f>
      </c>
      <c r="G48" s="75">
        <f>AVERAGE(G49:G60)</f>
      </c>
      <c r="H48" s="71">
        <f>Table18791011121314151617181920212223242526272829303132333435363738394041424344484951525354555657585962636465686970713[[#This Row],[Total Unique Pageviews]]/181</f>
      </c>
    </row>
    <row r="49" spans="1:9">
      <c r="A49" s="73">
        <v>3.1</v>
      </c>
      <c r="B49" t="s" s="90">
        <v>190</v>
      </c>
      <c r="C49" s="68">
        <f t="shared" ref="C49:C62" si="2">TEXT(B70*100, "0.00") &amp; "%"</f>
      </c>
      <c r="D49" s="73">
        <f t="shared" ref="D49:D55" si="3">TEXT(INT(C70/3600), "00") &amp; ":" &amp; TEXT(INT(MOD(C70, 3600)/60), "00") &amp; ":" &amp; TEXT(MOD(C70, 60), "00")</f>
      </c>
      <c r="E49">
        <v>1650045</v>
      </c>
      <c r="F49" s="71">
        <f>Table18791011121314151617181920212223242526272829303132333435363738394041424344484951525354555657585962636465686970713[[#This Row],[Total Pageviews]]/181</f>
      </c>
      <c r="G49">
        <v>883450</v>
      </c>
      <c r="H49" s="71">
        <f>Table18791011121314151617181920212223242526272829303132333435363738394041424344484951525354555657585962636465686970713[[#This Row],[Total Unique Pageviews]]/181</f>
      </c>
    </row>
    <row r="50" spans="1:9">
      <c r="A50" s="73">
        <v>3.2</v>
      </c>
      <c r="B50" t="s" s="91">
        <v>186</v>
      </c>
      <c r="C50" s="68">
        <f t="shared" si="2"/>
      </c>
      <c r="D50" s="73">
        <f t="shared" si="3"/>
      </c>
      <c r="E50">
        <v>637128</v>
      </c>
      <c r="F50" s="71">
        <f>Table18791011121314151617181920212223242526272829303132333435363738394041424344484951525354555657585962636465686970713[[#This Row],[Total Pageviews]]/181</f>
      </c>
      <c r="G50">
        <v>424440</v>
      </c>
      <c r="H50" s="71">
        <f>Table18791011121314151617181920212223242526272829303132333435363738394041424344484951525354555657585962636465686970713[[#This Row],[Total Unique Pageviews]]/181</f>
      </c>
    </row>
    <row r="51" spans="1:9">
      <c r="A51" s="73">
        <v>3.3</v>
      </c>
      <c r="B51" t="s" s="92">
        <v>188</v>
      </c>
      <c r="C51" s="68">
        <f t="shared" si="2"/>
      </c>
      <c r="D51" s="73">
        <f t="shared" si="3"/>
      </c>
      <c r="E51">
        <v>217761</v>
      </c>
      <c r="F51" s="71">
        <f>Table18791011121314151617181920212223242526272829303132333435363738394041424344484951525354555657585962636465686970713[[#This Row],[Total Pageviews]]/181</f>
      </c>
      <c r="G51">
        <v>154225</v>
      </c>
      <c r="H51" s="71">
        <f>Table18791011121314151617181920212223242526272829303132333435363738394041424344484951525354555657585962636465686970713[[#This Row],[Total Unique Pageviews]]/181</f>
      </c>
    </row>
    <row r="52" spans="1:9">
      <c r="A52" s="73">
        <v>3.4</v>
      </c>
      <c r="B52" t="s" s="93">
        <v>173</v>
      </c>
      <c r="C52" s="68">
        <f t="shared" si="2"/>
      </c>
      <c r="D52" s="73">
        <f t="shared" si="3"/>
      </c>
      <c r="E52">
        <v>836128</v>
      </c>
      <c r="F52" s="71">
        <f>Table18791011121314151617181920212223242526272829303132333435363738394041424344484951525354555657585962636465686970713[[#This Row],[Total Pageviews]]/181</f>
      </c>
      <c r="G52">
        <v>620144</v>
      </c>
      <c r="H52" s="71">
        <f>Table18791011121314151617181920212223242526272829303132333435363738394041424344484951525354555657585962636465686970713[[#This Row],[Total Unique Pageviews]]/181</f>
      </c>
    </row>
    <row r="53" spans="1:9">
      <c r="A53" s="73">
        <v>3.5</v>
      </c>
      <c r="B53" t="s" s="91">
        <v>185</v>
      </c>
      <c r="C53" s="68">
        <f t="shared" si="2"/>
      </c>
      <c r="D53" s="73">
        <f t="shared" si="3"/>
      </c>
      <c r="E53">
        <v>797073</v>
      </c>
      <c r="F53" s="71">
        <f>Table18791011121314151617181920212223242526272829303132333435363738394041424344484951525354555657585962636465686970713[[#This Row],[Total Pageviews]]/181</f>
      </c>
      <c r="G53">
        <v>618682</v>
      </c>
      <c r="H53" s="71">
        <f>Table18791011121314151617181920212223242526272829303132333435363738394041424344484951525354555657585962636465686970713[[#This Row],[Total Unique Pageviews]]/181</f>
      </c>
    </row>
    <row r="54" spans="1:9">
      <c r="A54" s="73">
        <v>3.6</v>
      </c>
      <c r="B54" t="s" s="91">
        <v>210</v>
      </c>
      <c r="C54" s="68">
        <f t="shared" si="2"/>
      </c>
      <c r="D54" s="73">
        <f t="shared" si="3"/>
      </c>
      <c r="E54">
        <v>1163054</v>
      </c>
      <c r="F54" s="71">
        <f>Table18791011121314151617181920212223242526272829303132333435363738394041424344484951525354555657585962636465686970713[[#This Row],[Total Pageviews]]/181</f>
      </c>
      <c r="G54">
        <v>773757</v>
      </c>
      <c r="H54" s="71">
        <f>Table18791011121314151617181920212223242526272829303132333435363738394041424344484951525354555657585962636465686970713[[#This Row],[Total Unique Pageviews]]/181</f>
      </c>
    </row>
    <row r="55" spans="1:9">
      <c r="A55" s="73">
        <v>3.7</v>
      </c>
      <c r="B55" t="s" s="92">
        <v>181</v>
      </c>
      <c r="C55" s="68">
        <f t="shared" si="2"/>
      </c>
      <c r="D55" s="73">
        <f t="shared" si="3"/>
      </c>
      <c r="E55">
        <v>685071</v>
      </c>
      <c r="F55" s="71">
        <f>Table18791011121314151617181920212223242526272829303132333435363738394041424344484951525354555657585962636465686970713[[#This Row],[Total Pageviews]]/181</f>
      </c>
      <c r="G55">
        <v>508069</v>
      </c>
      <c r="H55" s="71">
        <f>Table18791011121314151617181920212223242526272829303132333435363738394041424344484951525354555657585962636465686970713[[#This Row],[Total Unique Pageviews]]/181</f>
      </c>
    </row>
    <row r="56" spans="1:9">
      <c r="A56" s="73">
        <v>3.8</v>
      </c>
      <c r="B56" t="s" s="93">
        <v>211</v>
      </c>
      <c r="C56" s="68">
        <f t="shared" si="2"/>
      </c>
      <c r="D56" s="73">
        <f t="shared" ref="D56:D60" si="4">TEXT(INT(C77/3600), "00") &amp; ":" &amp; TEXT(INT(MOD(C77, 3600)/60), "00") &amp; ":" &amp; TEXT(MOD(C77, 60), "00")</f>
      </c>
      <c r="E56">
        <v>213391</v>
      </c>
      <c r="F56" s="71">
        <f>Table18791011121314151617181920212223242526272829303132333435363738394041424344484951525354555657585962636465686970713[[#This Row],[Total Pageviews]]/181</f>
      </c>
      <c r="G56">
        <v>155427</v>
      </c>
      <c r="H56" s="71">
        <f>Table18791011121314151617181920212223242526272829303132333435363738394041424344484951525354555657585962636465686970713[[#This Row],[Total Unique Pageviews]]/181</f>
      </c>
    </row>
    <row r="57" spans="1:9">
      <c r="A57" s="73">
        <v>3.9</v>
      </c>
      <c r="B57" t="s" s="91">
        <v>177</v>
      </c>
      <c r="C57" s="68">
        <f t="shared" si="2"/>
      </c>
      <c r="D57" s="73">
        <f t="shared" si="4"/>
      </c>
      <c r="E57">
        <v>207422</v>
      </c>
      <c r="F57" s="71">
        <f>Table18791011121314151617181920212223242526272829303132333435363738394041424344484951525354555657585962636465686970713[[#This Row],[Total Pageviews]]/181</f>
      </c>
      <c r="G57">
        <v>138467</v>
      </c>
      <c r="H57" s="71">
        <f>Table18791011121314151617181920212223242526272829303132333435363738394041424344484951525354555657585962636465686970713[[#This Row],[Total Unique Pageviews]]/181</f>
      </c>
    </row>
    <row r="58" spans="1:9">
      <c r="A58" s="94">
        <v>3.1</v>
      </c>
      <c r="B58" t="s" s="93">
        <v>212</v>
      </c>
      <c r="C58" s="68">
        <f t="shared" si="2"/>
      </c>
      <c r="D58" s="73">
        <f t="shared" si="4"/>
      </c>
      <c r="E58">
        <v>1145028</v>
      </c>
      <c r="F58" s="71">
        <f>Table18791011121314151617181920212223242526272829303132333435363738394041424344484951525354555657585962636465686970713[[#This Row],[Total Pageviews]]/181</f>
      </c>
      <c r="G58">
        <v>717938</v>
      </c>
      <c r="H58" s="71">
        <f>Table18791011121314151617181920212223242526272829303132333435363738394041424344484951525354555657585962636465686970713[[#This Row],[Total Unique Pageviews]]/181</f>
      </c>
    </row>
    <row r="59" spans="1:9">
      <c r="A59" s="94">
        <v>3.11</v>
      </c>
      <c r="B59" t="s" s="91">
        <v>213</v>
      </c>
      <c r="C59" s="68">
        <f t="shared" si="2"/>
      </c>
      <c r="D59" s="73">
        <f t="shared" si="4"/>
      </c>
      <c r="E59">
        <v>780838</v>
      </c>
      <c r="F59" s="71">
        <f>Table18791011121314151617181920212223242526272829303132333435363738394041424344484951525354555657585962636465686970713[[#This Row],[Total Pageviews]]/181</f>
      </c>
      <c r="G59">
        <v>516815</v>
      </c>
      <c r="H59" s="71">
        <f>Table18791011121314151617181920212223242526272829303132333435363738394041424344484951525354555657585962636465686970713[[#This Row],[Total Unique Pageviews]]/181</f>
      </c>
    </row>
    <row r="60" spans="1:9">
      <c r="A60" s="94">
        <v>3.12</v>
      </c>
      <c r="B60" t="s" s="91">
        <v>192</v>
      </c>
      <c r="C60" s="68">
        <f t="shared" si="2"/>
      </c>
      <c r="D60" s="73">
        <f t="shared" si="4"/>
      </c>
      <c r="E60">
        <v>1554048</v>
      </c>
      <c r="F60" s="71">
        <f>Table18791011121314151617181920212223242526272829303132333435363738394041424344484951525354555657585962636465686970713[[#This Row],[Total Pageviews]]/181</f>
      </c>
      <c r="G60">
        <v>1081419</v>
      </c>
      <c r="H60" s="71">
        <f>Table18791011121314151617181920212223242526272829303132333435363738394041424344484951525354555657585962636465686970713[[#This Row],[Total Unique Pageviews]]/181</f>
      </c>
    </row>
    <row r="61" spans="1:9">
      <c r="A61" s="73">
        <v>4</v>
      </c>
      <c r="B61" t="s" s="89">
        <v>214</v>
      </c>
      <c r="C61" s="68">
        <f t="shared" si="2"/>
      </c>
      <c r="D61" s="73">
        <f>TEXT(INT(C82/3600), "00") &amp; ":" &amp; TEXT(INT(MOD(C82, 3600)/60), "00") &amp; ":" &amp; TEXT(MOD(C82, 60), "00")</f>
      </c>
      <c r="E61">
        <v>45109</v>
      </c>
      <c r="F61" s="71">
        <f>Table18791011121314151617181920212223242526272829303132333435363738394041424344484951525354555657585962636465686970713[[#This Row],[Total Pageviews]]/181</f>
      </c>
      <c r="G61">
        <v>32695</v>
      </c>
      <c r="H61" s="71">
        <f>Table18791011121314151617181920212223242526272829303132333435363738394041424344484951525354555657585962636465686970713[[#This Row],[Total Unique Pageviews]]/181</f>
      </c>
    </row>
    <row r="62" spans="1:9">
      <c r="A62" s="73">
        <v>5</v>
      </c>
      <c r="B62" t="s" s="89">
        <v>215</v>
      </c>
      <c r="C62" s="68">
        <f t="shared" si="2"/>
      </c>
      <c r="D62" s="73">
        <f>TEXT(INT(C83/3600), "00") &amp; ":" &amp; TEXT(INT(MOD(C83, 3600)/60), "00") &amp; ":" &amp; TEXT(MOD(C83, 60), "00")</f>
      </c>
      <c r="E62">
        <v>3</v>
      </c>
      <c r="F62" s="71">
        <f>Table18791011121314151617181920212223242526272829303132333435363738394041424344484951525354555657585962636465686970713[[#This Row],[Total Pageviews]]/181</f>
      </c>
      <c r="G62">
        <v>3</v>
      </c>
      <c r="H62" s="71">
        <f>Table18791011121314151617181920212223242526272829303132333435363738394041424344484951525354555657585962636465686970713[[#This Row],[Total Unique Pageviews]]/181</f>
      </c>
    </row>
    <row r="63" spans="1:9">
      <c r="B63" s="8"/>
      <c r="G63" s="64"/>
      <c r="I63" s="65"/>
    </row>
    <row r="64" spans="1:9">
      <c r="G64" s="64"/>
      <c r="I64" s="65"/>
    </row>
    <row r="65" spans="1:9">
      <c r="G65" s="64"/>
      <c r="I65" s="65"/>
    </row>
    <row r="66" spans="1:9">
      <c r="G66" s="64"/>
      <c r="I66" s="65"/>
    </row>
    <row r="67" spans="1:9">
      <c r="G67" s="64"/>
      <c r="I67" s="65"/>
    </row>
    <row r="68" spans="1:9" ht="15">
      <c r="A68" t="s" s="85">
        <v>216</v>
      </c>
      <c r="B68" t="s" s="85">
        <v>217</v>
      </c>
      <c r="C68" t="s" s="85">
        <v>218</v>
      </c>
      <c r="D68" t="s" s="85">
        <v>167</v>
      </c>
      <c r="E68" t="s" s="85">
        <v>219</v>
      </c>
      <c r="G68" t="s" s="64">
        <v>220</v>
      </c>
      <c r="I68" s="65"/>
    </row>
    <row r="69" spans="1:9">
      <c r="A69" t="s">
        <v>67</v>
      </c>
      <c r="B69">
        <v>0.265625997935625</v>
      </c>
      <c r="C69">
        <v>70.1639345455058</v>
      </c>
      <c r="D69">
        <v>2535514</v>
      </c>
      <c r="E69">
        <v>1482436</v>
      </c>
      <c r="G69" s="95"/>
      <c r="I69" s="65"/>
    </row>
    <row r="70" spans="1:9">
      <c r="A70" t="s">
        <v>221</v>
      </c>
      <c r="B70">
        <v>0.617948554833765</v>
      </c>
      <c r="C70">
        <v>67.0106250355214</v>
      </c>
      <c r="D70">
        <v>1650045</v>
      </c>
      <c r="E70">
        <v>883450</v>
      </c>
      <c r="G70" s="95">
        <v>61.79</v>
      </c>
      <c r="I70" s="65"/>
    </row>
    <row r="71" spans="1:9">
      <c r="A71" t="s">
        <v>236</v>
      </c>
      <c r="B71">
        <v>0.302312783926815</v>
      </c>
      <c r="C71">
        <v>101.466677855505</v>
      </c>
      <c r="D71">
        <v>637128</v>
      </c>
      <c r="E71">
        <v>424440</v>
      </c>
      <c r="G71" s="95">
        <v>30.23</v>
      </c>
      <c r="I71" s="65"/>
    </row>
    <row r="72" spans="1:9">
      <c r="A72" t="s">
        <v>223</v>
      </c>
      <c r="B72">
        <v>0.146581367453018</v>
      </c>
      <c r="C72">
        <v>90.7979713113794</v>
      </c>
      <c r="D72">
        <v>217761</v>
      </c>
      <c r="E72">
        <v>154225</v>
      </c>
      <c r="G72" s="95">
        <v>14.66</v>
      </c>
      <c r="I72" s="65"/>
    </row>
    <row r="73" spans="1:9">
      <c r="A73" t="s">
        <v>224</v>
      </c>
      <c r="B73">
        <v>0.507633179735974</v>
      </c>
      <c r="C73">
        <v>89.8263542023357</v>
      </c>
      <c r="D73">
        <v>836128</v>
      </c>
      <c r="E73">
        <v>620144</v>
      </c>
      <c r="G73" s="95">
        <v>50.76</v>
      </c>
      <c r="I73" s="65"/>
    </row>
    <row r="74" spans="1:9">
      <c r="A74" t="s">
        <v>225</v>
      </c>
      <c r="B74">
        <v>0.478871189433603</v>
      </c>
      <c r="C74">
        <v>74.1112305763774</v>
      </c>
      <c r="D74">
        <v>797073</v>
      </c>
      <c r="E74">
        <v>618682</v>
      </c>
      <c r="G74" s="95">
        <v>47.89</v>
      </c>
      <c r="I74" s="65"/>
    </row>
    <row r="75" spans="1:9">
      <c r="A75" t="s">
        <v>226</v>
      </c>
      <c r="B75">
        <v>0.295511687923413</v>
      </c>
      <c r="C75">
        <v>176.97424964386</v>
      </c>
      <c r="D75">
        <v>1163054</v>
      </c>
      <c r="E75">
        <v>773757</v>
      </c>
      <c r="G75" s="95">
        <v>29.55</v>
      </c>
      <c r="I75" s="65"/>
    </row>
    <row r="76" spans="1:9">
      <c r="A76" t="s">
        <v>227</v>
      </c>
      <c r="B76">
        <v>0.426251519978078</v>
      </c>
      <c r="C76">
        <v>92.5530564788008</v>
      </c>
      <c r="D76">
        <v>685071</v>
      </c>
      <c r="E76">
        <v>508069</v>
      </c>
      <c r="G76" s="95">
        <v>42.63</v>
      </c>
      <c r="I76" s="65"/>
    </row>
    <row r="77" spans="1:9">
      <c r="A77" t="s">
        <v>228</v>
      </c>
      <c r="B77">
        <v>0.13872642160349</v>
      </c>
      <c r="C77">
        <v>119.852199552007</v>
      </c>
      <c r="D77">
        <v>213391</v>
      </c>
      <c r="E77">
        <v>155427</v>
      </c>
      <c r="G77" s="95">
        <v>13.87</v>
      </c>
      <c r="I77" s="65"/>
    </row>
    <row r="78" spans="1:9">
      <c r="A78" t="s">
        <v>229</v>
      </c>
      <c r="B78">
        <v>0.125846457281176</v>
      </c>
      <c r="C78">
        <v>189.235066930717</v>
      </c>
      <c r="D78">
        <v>207422</v>
      </c>
      <c r="E78">
        <v>138467</v>
      </c>
      <c r="G78" s="95">
        <v>12.58</v>
      </c>
      <c r="I78" s="65"/>
    </row>
    <row r="79" spans="1:9">
      <c r="A79" t="s">
        <v>230</v>
      </c>
      <c r="B79">
        <v>0.331684239883779</v>
      </c>
      <c r="C79">
        <v>128.442430376409</v>
      </c>
      <c r="D79">
        <v>1145028</v>
      </c>
      <c r="E79">
        <v>717938</v>
      </c>
      <c r="G79" s="95">
        <v>33.17</v>
      </c>
      <c r="I79" s="65"/>
    </row>
    <row r="80" spans="1:9">
      <c r="A80" t="s">
        <v>231</v>
      </c>
      <c r="B80">
        <v>0.434116491534408</v>
      </c>
      <c r="C80">
        <v>94.242152168947</v>
      </c>
      <c r="D80">
        <v>780838</v>
      </c>
      <c r="E80">
        <v>516815</v>
      </c>
      <c r="G80" s="95">
        <v>43.41</v>
      </c>
      <c r="I80" s="65"/>
    </row>
    <row r="81" spans="1:9">
      <c r="A81" t="s">
        <v>232</v>
      </c>
      <c r="B81">
        <v>0.600782574016861</v>
      </c>
      <c r="C81">
        <v>79.3290343160365</v>
      </c>
      <c r="D81">
        <v>1554048</v>
      </c>
      <c r="E81">
        <v>1081419</v>
      </c>
      <c r="G81" s="64">
        <v>60.08</v>
      </c>
      <c r="I81" s="65"/>
    </row>
    <row r="82" spans="1:9">
      <c r="A82" t="s">
        <v>91</v>
      </c>
      <c r="B82">
        <v>0.062493242512704</v>
      </c>
      <c r="C82">
        <v>63.1845573925289</v>
      </c>
      <c r="D82">
        <v>45109</v>
      </c>
      <c r="E82">
        <v>32695</v>
      </c>
      <c r="G82" s="64">
        <v>6.25</v>
      </c>
      <c r="I82" s="65"/>
    </row>
    <row r="83" spans="1:9">
      <c r="A83" t="s">
        <v>250</v>
      </c>
      <c r="B83">
        <v>0.333333333333333</v>
      </c>
      <c r="C83">
        <v>26.3764213333333</v>
      </c>
      <c r="D83">
        <v>3</v>
      </c>
      <c r="E83">
        <v>3</v>
      </c>
      <c r="G83" s="64">
        <v>33.33</v>
      </c>
      <c r="I83" s="65"/>
    </row>
    <row r="84" spans="1:9">
      <c r="G84" s="64"/>
      <c r="I84" s="65"/>
    </row>
    <row r="85" spans="1:9">
      <c r="C85">
        <f>AVERAGE(C70:C81)</f>
      </c>
      <c r="G85" s="64"/>
      <c r="I85" s="65"/>
    </row>
    <row r="86" spans="1:9">
      <c r="G86" s="64"/>
      <c r="I86" s="65"/>
    </row>
    <row r="106" spans="7:10" ht="15">
      <c r="G106" s="304">
        <v>258110</v>
      </c>
      <c r="H106" t="s" s="107">
        <v>359</v>
      </c>
      <c r="I106">
        <f>H106/G106</f>
      </c>
    </row>
    <row r="107" spans="7:10">
      <c r="G107">
        <v>258110</v>
      </c>
      <c r="H107">
        <v>160598</v>
      </c>
      <c r="I107">
        <f>H107/G107</f>
      </c>
      <c r="J107">
        <f>I107/60</f>
      </c>
    </row>
  </sheetData>
  <mergeCells count="1">
    <mergeCell ref="A1:I3"/>
  </mergeCells>
  <pageMargins left="0.7" right="0.7" top="0.75" bottom="0.75" header="0.3" footer="0.3"/>
  <tableParts count="2">
    <tablePart r:id="rId1"/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/>
  <sheetViews>
    <sheetView zoomScale="75" zoomScaleNormal="75" workbookViewId="0">
      <selection activeCell="A2" sqref="A2:B17"/>
    </sheetView>
  </sheetViews>
  <sheetFormatPr defaultRowHeight="12.75"/>
  <cols>
    <col min="1" max="1" width="28.42578125" customWidth="1"/>
    <col min="2" max="2" width="17.7109375" style="13" customWidth="1"/>
    <col min="4" max="4" width="31.7109375" bestFit="1" customWidth="1"/>
    <col min="5" max="5" width="28" customWidth="1"/>
    <col min="6" max="6" width="14.140625" customWidth="1"/>
    <col min="8" max="8" width="24.85546875" bestFit="1" customWidth="1"/>
    <col min="9" max="9" width="19.5703125" customWidth="1"/>
    <col min="10" max="10" width="25.140625" bestFit="1" customWidth="1"/>
    <col min="15" max="15" width="18" bestFit="1" customWidth="1"/>
    <col min="16" max="16" width="25.140625" bestFit="1" customWidth="1"/>
    <col min="17" max="17" width="17.28515625" customWidth="1"/>
    <col min="21" max="21" width="10.28515625" bestFit="1" customWidth="1"/>
  </cols>
  <sheetData>
    <row r="1" spans="1:21">
      <c r="A1" t="s" s="12">
        <v>17</v>
      </c>
      <c r="B1" t="s" s="13">
        <v>0</v>
      </c>
      <c r="C1" s="12"/>
      <c r="D1" s="6"/>
      <c r="E1" s="6"/>
    </row>
    <row r="2" spans="1:21" ht="18">
      <c r="A2" t="s">
        <v>24</v>
      </c>
      <c r="B2">
        <v>19843</v>
      </c>
      <c r="C2" s="32"/>
      <c r="D2" s="32"/>
      <c r="E2" s="32"/>
    </row>
    <row r="3" spans="1:21" ht="18.75" customHeight="1">
      <c r="A3" t="s">
        <v>33</v>
      </c>
      <c r="B3">
        <v>15560</v>
      </c>
      <c r="C3" s="32"/>
      <c r="D3" s="32"/>
      <c r="E3" s="32"/>
    </row>
    <row r="4" spans="1:21" ht="18">
      <c r="A4" t="s">
        <v>105</v>
      </c>
      <c r="B4">
        <v>15256</v>
      </c>
      <c r="C4" s="32"/>
      <c r="D4" s="9"/>
      <c r="E4" s="10"/>
    </row>
    <row r="5" spans="1:21" ht="18">
      <c r="A5" t="s">
        <v>34</v>
      </c>
      <c r="B5">
        <v>14535</v>
      </c>
      <c r="C5" s="32"/>
      <c r="D5" s="9"/>
      <c r="E5" s="1"/>
    </row>
    <row r="6" spans="1:21" ht="24" thickBot="1">
      <c r="A6" t="s">
        <v>22</v>
      </c>
      <c r="B6">
        <v>9640</v>
      </c>
      <c r="C6" s="32"/>
      <c r="D6" s="9"/>
      <c r="E6" s="1"/>
      <c r="T6" t="s" s="14">
        <v>9</v>
      </c>
      <c r="U6" s="18">
        <v>4902</v>
      </c>
    </row>
    <row r="7" spans="1:21" ht="18.75" customHeight="1">
      <c r="A7" t="s">
        <v>23</v>
      </c>
      <c r="B7">
        <v>8309</v>
      </c>
      <c r="C7" s="32"/>
      <c r="E7" s="1"/>
    </row>
    <row r="8" spans="1:21" ht="24" thickBot="1">
      <c r="A8" t="s">
        <v>7</v>
      </c>
      <c r="B8">
        <v>7741</v>
      </c>
      <c r="C8" s="32"/>
      <c r="D8" s="9"/>
      <c r="E8" s="1"/>
      <c r="T8" t="s" s="14">
        <v>36</v>
      </c>
      <c r="U8" s="18">
        <v>4751</v>
      </c>
    </row>
    <row r="9" spans="1:21" ht="24" thickBot="1">
      <c r="A9" t="s">
        <v>9</v>
      </c>
      <c r="B9">
        <v>7534</v>
      </c>
      <c r="C9" s="32"/>
      <c r="D9" s="9"/>
      <c r="E9" s="1"/>
      <c r="T9" t="s" s="14">
        <v>6</v>
      </c>
      <c r="U9" s="18">
        <v>4213</v>
      </c>
    </row>
    <row r="10" spans="1:21" ht="18">
      <c r="A10" t="s">
        <v>239</v>
      </c>
      <c r="B10">
        <v>7417</v>
      </c>
      <c r="C10" s="32"/>
      <c r="D10" s="9"/>
      <c r="E10" s="1"/>
    </row>
    <row r="11" spans="1:21" ht="24" thickBot="1">
      <c r="A11" t="s">
        <v>240</v>
      </c>
      <c r="B11">
        <v>6283</v>
      </c>
      <c r="C11" s="32"/>
      <c r="D11" s="9"/>
      <c r="E11" s="1"/>
      <c r="T11" t="s" s="14">
        <v>31</v>
      </c>
      <c r="U11" s="18">
        <v>2108</v>
      </c>
    </row>
    <row r="12" spans="1:21" ht="24" thickBot="1">
      <c r="A12" t="s">
        <v>584</v>
      </c>
      <c r="B12">
        <v>4750</v>
      </c>
      <c r="C12" s="32"/>
      <c r="D12" s="9"/>
      <c r="E12" s="1"/>
      <c r="T12" t="s" s="14">
        <v>33</v>
      </c>
      <c r="U12" s="18">
        <v>1785</v>
      </c>
    </row>
    <row r="13" spans="1:21" ht="24" thickBot="1">
      <c r="A13" t="s">
        <v>32</v>
      </c>
      <c r="B13">
        <v>4289</v>
      </c>
      <c r="C13" s="32"/>
      <c r="D13" s="9"/>
      <c r="E13" s="1"/>
      <c r="T13" t="s" s="14">
        <v>25</v>
      </c>
      <c r="U13" s="18">
        <v>1476</v>
      </c>
    </row>
    <row r="14" spans="1:21" ht="24" thickBot="1">
      <c r="A14" t="s">
        <v>241</v>
      </c>
      <c r="B14">
        <v>4256</v>
      </c>
      <c r="C14" s="32"/>
      <c r="D14" s="32"/>
      <c r="E14" s="32"/>
      <c r="T14" t="s" s="14">
        <v>10</v>
      </c>
      <c r="U14" s="18">
        <v>1570</v>
      </c>
    </row>
    <row r="15" spans="1:21" ht="24" thickBot="1">
      <c r="A15" t="s">
        <v>481</v>
      </c>
      <c r="B15">
        <v>4178</v>
      </c>
      <c r="C15" s="32"/>
      <c r="D15" s="32"/>
      <c r="E15" s="32"/>
      <c r="T15" t="s" s="14">
        <v>8</v>
      </c>
      <c r="U15" s="18">
        <v>1847</v>
      </c>
    </row>
    <row r="16" spans="1:21" ht="18.75" customHeight="1">
      <c r="A16" t="s">
        <v>53</v>
      </c>
      <c r="B16">
        <v>3602</v>
      </c>
      <c r="C16" s="32"/>
      <c r="D16" s="32"/>
      <c r="E16" s="32"/>
    </row>
    <row r="17" spans="1:17" ht="13.5" customHeight="1">
      <c r="A17" t="s">
        <v>482</v>
      </c>
      <c r="B17">
        <v>3498</v>
      </c>
    </row>
    <row r="18" spans="1:17" ht="24" customHeight="1">
      <c r="A18" t="s">
        <v>102</v>
      </c>
      <c r="B18">
        <v>3015</v>
      </c>
    </row>
    <row r="19" spans="1:17" ht="24" customHeight="1">
      <c r="A19" t="s" s="9">
        <v>13</v>
      </c>
      <c r="B19" s="1"/>
      <c r="D19">
        <v>1144</v>
      </c>
    </row>
    <row r="20" spans="1:17" ht="24" customHeight="1">
      <c r="A20" t="s" s="9">
        <v>105</v>
      </c>
      <c r="B20" s="37"/>
    </row>
    <row r="21" spans="1:17" ht="23.25">
      <c r="A21" t="s" s="9">
        <v>27</v>
      </c>
      <c r="B21" s="18"/>
    </row>
    <row r="22" spans="1:17" ht="24" customHeight="1">
      <c r="A22" t="s" s="9">
        <v>12</v>
      </c>
      <c r="B22" s="19"/>
    </row>
    <row r="23" spans="1:17" ht="24" customHeight="1">
      <c r="A23" t="s" s="9">
        <v>32</v>
      </c>
      <c r="B23" s="19"/>
    </row>
    <row r="24" spans="1:17" ht="24" customHeight="1">
      <c r="A24" t="s" s="9">
        <v>82</v>
      </c>
      <c r="B24" s="19"/>
    </row>
    <row r="25" spans="1:17" ht="24" customHeight="1">
      <c r="A25" t="s" s="9">
        <v>11</v>
      </c>
      <c r="B25" s="19"/>
    </row>
    <row r="26" spans="1:17" ht="24" customHeight="1">
      <c r="A26" t="s" s="9">
        <v>11</v>
      </c>
      <c r="B26" s="18"/>
    </row>
    <row r="27" spans="1:17" ht="24" customHeight="1">
      <c r="A27" t="s" s="9">
        <v>45</v>
      </c>
      <c r="B27" s="19"/>
    </row>
    <row r="28" spans="1:17" ht="24" customHeight="1">
      <c r="A28" t="s" s="9">
        <v>102</v>
      </c>
      <c r="B28" s="32"/>
    </row>
    <row r="29" spans="1:17" ht="24" customHeight="1">
      <c r="A29" t="s" s="9">
        <v>102</v>
      </c>
      <c r="B29" s="19"/>
    </row>
    <row r="30" spans="1:17" ht="24" customHeight="1">
      <c r="A30" t="s" s="9">
        <v>106</v>
      </c>
      <c r="B30" s="19"/>
    </row>
    <row r="31" spans="1:17" ht="15" customHeight="1">
      <c r="A31" t="s" s="9">
        <v>53</v>
      </c>
      <c r="B31" s="19"/>
    </row>
    <row r="32" spans="1:17" ht="21.75" thickBot="1">
      <c r="A32" t="s" s="9">
        <v>38</v>
      </c>
      <c r="B32" s="19"/>
      <c r="P32" s="23"/>
      <c r="Q32" s="20"/>
    </row>
    <row r="33" spans="1:17" ht="21.75" customHeight="1" thickBot="1">
      <c r="A33" t="s" s="9">
        <v>107</v>
      </c>
      <c r="B33" s="38"/>
      <c r="P33" s="23"/>
      <c r="Q33" s="20"/>
    </row>
    <row r="34" spans="1:17" ht="21.75" thickBot="1">
      <c r="A34" t="s" s="9">
        <v>108</v>
      </c>
      <c r="B34" s="16"/>
      <c r="P34" s="23"/>
      <c r="Q34" s="20"/>
    </row>
    <row r="35" spans="1:17" ht="21.75" thickBot="1">
      <c r="A35" t="s" s="9">
        <v>44</v>
      </c>
      <c r="B35" s="16"/>
      <c r="P35" s="23"/>
      <c r="Q35" s="22"/>
    </row>
    <row r="36" spans="1:17" ht="21.75" customHeight="1" thickBot="1">
      <c r="A36" t="s" s="9">
        <v>109</v>
      </c>
      <c r="B36" s="18"/>
      <c r="E36" t="s" s="12">
        <v>63</v>
      </c>
      <c r="P36" s="23"/>
      <c r="Q36" s="20"/>
    </row>
    <row r="37" spans="1:17" ht="21.75" thickBot="1">
      <c r="A37" t="s" s="9">
        <v>47</v>
      </c>
      <c r="B37" s="19"/>
      <c r="E37" t="s">
        <v>59</v>
      </c>
      <c r="F37" t="s" s="12">
        <v>58</v>
      </c>
      <c r="H37" t="s">
        <v>62</v>
      </c>
      <c r="I37" t="s">
        <v>61</v>
      </c>
      <c r="P37" s="23"/>
      <c r="Q37" s="20"/>
    </row>
    <row r="38" spans="1:17" ht="21.75" thickBot="1">
      <c r="A38" t="s" s="9">
        <v>110</v>
      </c>
      <c r="B38" s="35"/>
      <c r="E38" t="s" s="25">
        <v>34</v>
      </c>
      <c r="F38" s="32">
        <v>5645645</v>
      </c>
      <c r="H38" t="s" s="25">
        <v>34</v>
      </c>
      <c r="I38" s="32">
        <v>6546516</v>
      </c>
      <c r="P38" s="23"/>
      <c r="Q38" s="20"/>
    </row>
    <row r="39" spans="1:17" ht="21.75" thickBot="1">
      <c r="A39" t="s" s="9">
        <v>5</v>
      </c>
      <c r="B39" s="16"/>
      <c r="E39" t="s" s="25">
        <v>23</v>
      </c>
      <c r="F39" s="32">
        <v>4488</v>
      </c>
      <c r="H39" t="s" s="25">
        <v>23</v>
      </c>
      <c r="I39" s="32">
        <v>4286</v>
      </c>
      <c r="P39" s="24"/>
      <c r="Q39" s="20"/>
    </row>
    <row r="40" spans="1:17" ht="21.75" thickBot="1">
      <c r="A40" t="s" s="9">
        <v>89</v>
      </c>
      <c r="B40" s="16"/>
      <c r="E40" t="s" s="25">
        <v>9</v>
      </c>
      <c r="F40" s="32">
        <v>4053</v>
      </c>
      <c r="H40" t="s" s="25">
        <v>22</v>
      </c>
      <c r="I40" s="32">
        <v>4094</v>
      </c>
      <c r="P40" s="23"/>
      <c r="Q40" s="20"/>
    </row>
    <row r="41" spans="1:17" ht="21.75" thickBot="1">
      <c r="A41" t="s" s="9">
        <v>86</v>
      </c>
      <c r="B41" s="16"/>
      <c r="E41" t="s" s="25">
        <v>7</v>
      </c>
      <c r="F41" s="32">
        <v>4023</v>
      </c>
      <c r="H41" t="s" s="25">
        <v>9</v>
      </c>
      <c r="I41" s="32">
        <v>4016</v>
      </c>
      <c r="P41" s="23"/>
      <c r="Q41" s="20"/>
    </row>
    <row r="42" spans="1:17" ht="21.75" thickBot="1">
      <c r="A42" t="s" s="9">
        <v>16</v>
      </c>
      <c r="B42" s="16"/>
      <c r="E42" t="s" s="25">
        <v>6</v>
      </c>
      <c r="F42" s="32">
        <v>3988</v>
      </c>
      <c r="H42" t="s" s="25">
        <v>7</v>
      </c>
      <c r="I42" s="32">
        <v>3935</v>
      </c>
      <c r="P42" s="23"/>
      <c r="Q42" s="20"/>
    </row>
    <row r="43" spans="1:17" ht="21.75" thickBot="1">
      <c r="A43" t="s" s="9">
        <v>79</v>
      </c>
      <c r="B43" s="16"/>
      <c r="E43" t="s" s="25">
        <v>22</v>
      </c>
      <c r="F43" s="32">
        <v>3964</v>
      </c>
      <c r="H43" t="s" s="27">
        <v>60</v>
      </c>
      <c r="I43" s="32">
        <v>3021</v>
      </c>
      <c r="J43" s="30"/>
      <c r="K43" s="20"/>
      <c r="P43" s="23"/>
      <c r="Q43" s="20"/>
    </row>
    <row r="44" spans="1:17" ht="21.75" customHeight="1" thickBot="1">
      <c r="A44" t="s" s="9">
        <v>14</v>
      </c>
      <c r="B44" s="18"/>
      <c r="E44" t="s" s="27">
        <v>60</v>
      </c>
      <c r="F44" s="32">
        <v>3438</v>
      </c>
      <c r="H44" t="s" s="25">
        <v>6</v>
      </c>
      <c r="I44" s="32">
        <v>2695</v>
      </c>
      <c r="J44" s="30"/>
      <c r="K44" s="20"/>
      <c r="P44" s="23"/>
      <c r="Q44" s="20"/>
    </row>
    <row r="45" spans="1:17" ht="21.75" thickBot="1">
      <c r="A45" t="s" s="9">
        <v>101</v>
      </c>
      <c r="B45" s="16"/>
      <c r="E45" t="s" s="25">
        <v>24</v>
      </c>
      <c r="F45" s="32">
        <v>1944</v>
      </c>
      <c r="H45" t="s" s="25">
        <v>24</v>
      </c>
      <c r="I45" s="33">
        <v>1758</v>
      </c>
      <c r="J45" s="30"/>
      <c r="K45" s="20"/>
      <c r="P45" s="23"/>
      <c r="Q45" s="20"/>
    </row>
    <row r="46" spans="1:17" ht="21.75" customHeight="1" thickBot="1">
      <c r="A46" t="s" s="9">
        <v>111</v>
      </c>
      <c r="B46" s="18"/>
      <c r="E46" t="s" s="25">
        <v>25</v>
      </c>
      <c r="F46" s="32">
        <v>1776</v>
      </c>
      <c r="H46" t="s" s="25">
        <v>10</v>
      </c>
      <c r="I46" s="32">
        <v>1608</v>
      </c>
      <c r="J46" s="30"/>
      <c r="K46" s="22"/>
      <c r="P46" s="23"/>
      <c r="Q46" s="20"/>
    </row>
    <row r="47" spans="1:17" ht="21">
      <c r="A47" t="s" s="9">
        <v>73</v>
      </c>
      <c r="E47" t="s" s="25">
        <v>10</v>
      </c>
      <c r="F47" s="32">
        <v>1698</v>
      </c>
      <c r="H47" t="s" s="25">
        <v>32</v>
      </c>
      <c r="I47" s="32">
        <v>1589</v>
      </c>
      <c r="J47" s="30"/>
      <c r="K47" s="20"/>
    </row>
    <row r="48" spans="1:17" ht="21">
      <c r="A48" t="s" s="9">
        <v>112</v>
      </c>
      <c r="B48" s="16"/>
      <c r="E48" t="s" s="25">
        <v>15</v>
      </c>
      <c r="F48" s="32">
        <v>1570</v>
      </c>
      <c r="H48" t="s" s="25">
        <v>15</v>
      </c>
      <c r="I48" s="32">
        <v>1564</v>
      </c>
      <c r="J48" s="30"/>
      <c r="K48" s="20"/>
    </row>
    <row r="49" spans="1:12" ht="21">
      <c r="A49" t="s" s="9">
        <v>76</v>
      </c>
      <c r="B49" s="16"/>
      <c r="E49" t="s" s="25">
        <v>31</v>
      </c>
      <c r="F49" s="32">
        <v>1479</v>
      </c>
      <c r="H49" t="s" s="25">
        <v>31</v>
      </c>
      <c r="I49" s="32">
        <v>1341</v>
      </c>
      <c r="J49" s="30"/>
      <c r="K49" s="20"/>
      <c r="L49" s="17"/>
    </row>
    <row r="50" spans="1:12" ht="21">
      <c r="A50" t="s" s="9">
        <v>51</v>
      </c>
      <c r="B50" s="16"/>
      <c r="E50" t="s" s="25">
        <v>32</v>
      </c>
      <c r="F50" s="32">
        <v>1465</v>
      </c>
      <c r="H50" t="s" s="25">
        <v>25</v>
      </c>
      <c r="I50" s="32">
        <v>1276</v>
      </c>
      <c r="J50" s="30"/>
      <c r="K50" s="20"/>
      <c r="L50" s="17"/>
    </row>
    <row r="51" spans="1:12" ht="23.25">
      <c r="A51" t="s" s="9">
        <v>29</v>
      </c>
      <c r="B51" s="16"/>
      <c r="E51" t="s" s="25">
        <v>8</v>
      </c>
      <c r="F51" s="32">
        <v>1118</v>
      </c>
      <c r="H51" t="s" s="25">
        <v>33</v>
      </c>
      <c r="I51" s="32">
        <v>1142</v>
      </c>
      <c r="J51" s="31"/>
      <c r="K51" s="20"/>
      <c r="L51" s="18"/>
    </row>
    <row r="52" spans="1:12" ht="21">
      <c r="A52" t="s" s="9">
        <v>81</v>
      </c>
      <c r="B52" s="16"/>
      <c r="E52" t="s" s="25">
        <v>33</v>
      </c>
      <c r="F52" s="32">
        <v>1095</v>
      </c>
      <c r="H52" t="s" s="25">
        <v>8</v>
      </c>
      <c r="I52" s="32">
        <v>1076</v>
      </c>
      <c r="J52" s="30"/>
      <c r="K52" s="20"/>
      <c r="L52" s="17"/>
    </row>
    <row r="53" spans="1:12" ht="21">
      <c r="A53" t="s" s="9">
        <v>113</v>
      </c>
      <c r="B53" s="16"/>
      <c r="E53" s="30"/>
      <c r="F53" s="20"/>
      <c r="J53" s="30"/>
      <c r="K53" s="20"/>
      <c r="L53" s="17"/>
    </row>
    <row r="54" spans="1:12" ht="21">
      <c r="A54" t="s" s="9">
        <v>114</v>
      </c>
      <c r="B54" s="16"/>
      <c r="J54" s="30"/>
      <c r="K54" s="20"/>
      <c r="L54" s="17"/>
    </row>
    <row r="55" spans="1:12" ht="21">
      <c r="A55" t="s" s="9">
        <v>46</v>
      </c>
      <c r="B55" s="32"/>
      <c r="J55" s="30"/>
      <c r="K55" s="20"/>
      <c r="L55" s="17"/>
    </row>
    <row r="56" spans="1:12" ht="21">
      <c r="A56" t="s" s="9">
        <v>26</v>
      </c>
      <c r="B56" s="16"/>
      <c r="J56" s="30"/>
      <c r="K56" s="20"/>
      <c r="L56" s="17"/>
    </row>
    <row r="57" spans="1:12" ht="21">
      <c r="A57" t="s" s="9">
        <v>43</v>
      </c>
      <c r="B57" s="32"/>
      <c r="J57" s="30"/>
      <c r="K57" s="20"/>
      <c r="L57" s="17"/>
    </row>
    <row r="58" spans="1:12" ht="18.75">
      <c r="A58" t="s" s="9">
        <v>88</v>
      </c>
      <c r="B58" s="16"/>
      <c r="K58" s="29"/>
      <c r="L58" s="17"/>
    </row>
    <row r="59" spans="1:12" ht="18.75">
      <c r="A59" t="s" s="9">
        <v>40</v>
      </c>
      <c r="K59" s="29"/>
      <c r="L59" s="17"/>
    </row>
    <row r="60" spans="1:12" ht="18.75">
      <c r="A60" t="s" s="9">
        <v>39</v>
      </c>
      <c r="B60" s="16"/>
      <c r="K60" s="29"/>
      <c r="L60" s="17"/>
    </row>
    <row r="61" spans="1:12" ht="18.75">
      <c r="A61" t="s" s="9">
        <v>42</v>
      </c>
      <c r="B61" s="32"/>
      <c r="K61" s="29"/>
      <c r="L61" s="17"/>
    </row>
    <row r="62" spans="1:12" ht="18.75">
      <c r="A62" t="s" s="9">
        <v>37</v>
      </c>
      <c r="B62" s="16"/>
      <c r="K62" s="29"/>
      <c r="L62" s="17"/>
    </row>
    <row r="63" spans="1:12" ht="18.75">
      <c r="A63" t="s" s="9">
        <v>55</v>
      </c>
      <c r="B63" s="32"/>
      <c r="E63" s="9"/>
      <c r="F63" s="10"/>
      <c r="H63" s="9"/>
      <c r="I63" s="10"/>
      <c r="K63" s="29"/>
      <c r="L63" s="17"/>
    </row>
    <row r="64" spans="1:12">
      <c r="A64" t="s" s="9">
        <v>115</v>
      </c>
      <c r="E64" s="9"/>
      <c r="F64" s="1"/>
      <c r="H64" s="9"/>
      <c r="I64" s="1"/>
    </row>
    <row r="65" spans="1:16">
      <c r="A65" t="s" s="9">
        <v>84</v>
      </c>
      <c r="E65" s="9"/>
      <c r="F65" s="1"/>
      <c r="H65" s="9"/>
      <c r="I65" s="1"/>
    </row>
    <row r="66" spans="1:16" ht="14.25">
      <c r="A66" t="s" s="9">
        <v>116</v>
      </c>
      <c r="B66" s="16"/>
      <c r="F66" s="1"/>
      <c r="I66" s="1"/>
    </row>
    <row r="67" spans="1:16" ht="14.25">
      <c r="A67" t="s" s="9">
        <v>117</v>
      </c>
      <c r="B67" s="16"/>
      <c r="E67" s="9"/>
      <c r="F67" s="1"/>
      <c r="H67" s="9"/>
      <c r="I67" s="1"/>
    </row>
    <row r="68" spans="1:16">
      <c r="A68" t="s" s="9">
        <v>28</v>
      </c>
      <c r="E68" s="9"/>
      <c r="F68" s="1"/>
      <c r="H68" s="9"/>
      <c r="I68" s="1"/>
      <c r="N68" s="28"/>
    </row>
    <row r="69" spans="1:16">
      <c r="A69" t="s" s="9">
        <v>118</v>
      </c>
      <c r="E69" s="9"/>
      <c r="F69" s="1"/>
      <c r="H69" s="9"/>
      <c r="I69" s="1"/>
    </row>
    <row r="70" spans="1:16" ht="19.5" thickBot="1">
      <c r="A70" t="s" s="9">
        <v>3</v>
      </c>
      <c r="B70" s="16"/>
      <c r="E70" s="9"/>
      <c r="F70" s="1"/>
      <c r="H70" s="9"/>
      <c r="I70" s="1"/>
      <c r="O70" s="14"/>
      <c r="P70" s="17"/>
    </row>
    <row r="71" spans="1:16" ht="19.5" thickBot="1">
      <c r="A71" t="s" s="9">
        <v>71</v>
      </c>
      <c r="B71" s="16"/>
      <c r="E71" s="9"/>
      <c r="F71" s="1"/>
      <c r="H71" s="9"/>
      <c r="I71" s="1"/>
      <c r="O71" s="14"/>
      <c r="P71" s="17"/>
    </row>
    <row r="72" spans="1:16" ht="19.5" thickBot="1">
      <c r="A72" t="s" s="9">
        <v>98</v>
      </c>
      <c r="B72" s="16"/>
      <c r="E72" s="9"/>
      <c r="F72" s="1"/>
      <c r="H72" s="9"/>
      <c r="I72" s="1"/>
      <c r="O72" s="14"/>
      <c r="P72" s="17"/>
    </row>
    <row r="73" spans="1:16" ht="21.75" thickBot="1">
      <c r="A73" t="s" s="9">
        <v>41</v>
      </c>
      <c r="B73" s="16"/>
      <c r="E73" s="25"/>
      <c r="F73" s="26"/>
      <c r="H73" s="25"/>
      <c r="I73" s="26"/>
      <c r="O73" s="14"/>
      <c r="P73" s="22"/>
    </row>
    <row r="74" spans="1:16" ht="21.75" thickBot="1">
      <c r="A74" t="s" s="9">
        <v>54</v>
      </c>
      <c r="B74" s="16"/>
      <c r="E74" s="25"/>
      <c r="F74" s="26"/>
      <c r="H74" s="25"/>
      <c r="I74" s="26"/>
      <c r="O74" s="14"/>
      <c r="P74" s="17"/>
    </row>
    <row r="75" spans="1:16" ht="21.75" thickBot="1">
      <c r="A75" t="s" s="9">
        <v>80</v>
      </c>
      <c r="B75" s="16"/>
      <c r="E75" s="25"/>
      <c r="F75" s="26"/>
      <c r="H75" s="25"/>
      <c r="I75" s="26"/>
      <c r="O75" s="14"/>
      <c r="P75" s="17"/>
    </row>
    <row r="76" spans="1:16" ht="21.75" thickBot="1">
      <c r="A76" t="s" s="9">
        <v>97</v>
      </c>
      <c r="B76" s="16"/>
      <c r="E76" s="25"/>
      <c r="F76" s="26"/>
      <c r="H76" s="25"/>
      <c r="I76" s="26"/>
      <c r="O76" s="14"/>
      <c r="P76" s="17"/>
    </row>
    <row r="77" spans="1:16" ht="21.75" thickBot="1">
      <c r="A77" t="s" s="9">
        <v>56</v>
      </c>
      <c r="B77" s="16"/>
      <c r="E77" s="25"/>
      <c r="F77" s="26"/>
      <c r="H77" s="25"/>
      <c r="I77" s="26"/>
      <c r="O77" s="14"/>
      <c r="P77" s="17"/>
    </row>
    <row r="78" spans="1:16" ht="19.5" thickBot="1">
      <c r="A78" t="s" s="9">
        <v>72</v>
      </c>
      <c r="B78" s="16"/>
      <c r="O78" s="15"/>
      <c r="P78" s="17"/>
    </row>
    <row r="79" spans="1:16" ht="19.5" thickBot="1">
      <c r="A79" t="s" s="9">
        <v>99</v>
      </c>
      <c r="B79" s="16"/>
      <c r="O79" s="14"/>
      <c r="P79" s="17"/>
    </row>
    <row r="80" spans="1:16" ht="19.5" thickBot="1">
      <c r="A80" t="s" s="9">
        <v>119</v>
      </c>
      <c r="B80" s="16"/>
      <c r="O80" s="14"/>
      <c r="P80" s="17"/>
    </row>
    <row r="81" spans="1:16" ht="19.5" thickBot="1">
      <c r="A81" t="s" s="9">
        <v>52</v>
      </c>
      <c r="B81" s="16"/>
      <c r="O81" s="14"/>
      <c r="P81" s="17"/>
    </row>
    <row r="82" spans="1:16" ht="19.5" customHeight="1" thickBot="1">
      <c r="A82" t="s" s="9">
        <v>50</v>
      </c>
      <c r="B82" s="16"/>
      <c r="O82" s="14"/>
      <c r="P82" s="17"/>
    </row>
    <row r="83" spans="1:16" ht="19.5" customHeight="1" thickBot="1">
      <c r="A83" t="s" s="9">
        <v>49</v>
      </c>
      <c r="B83" s="18"/>
      <c r="O83" s="14"/>
      <c r="P83" s="17"/>
    </row>
    <row r="84" spans="1:16" ht="19.5" customHeight="1" thickBot="1">
      <c r="A84" t="s" s="9">
        <v>120</v>
      </c>
      <c r="B84" s="16"/>
      <c r="O84" s="14"/>
      <c r="P84" s="17"/>
    </row>
    <row r="85" spans="1:16" ht="12.75" customHeight="1">
      <c r="A85" t="s" s="9">
        <v>121</v>
      </c>
      <c r="B85" s="18"/>
    </row>
    <row r="86" spans="1:16" ht="14.25">
      <c r="A86" t="s" s="9">
        <v>83</v>
      </c>
      <c r="B86" s="16"/>
      <c r="G86">
        <v>3849</v>
      </c>
    </row>
    <row r="87" spans="1:16" ht="14.25">
      <c r="A87" t="s" s="9">
        <v>96</v>
      </c>
      <c r="B87" s="16"/>
      <c r="G87">
        <v>120</v>
      </c>
    </row>
    <row r="88" spans="1:16" ht="14.25">
      <c r="A88" t="s" s="9">
        <v>122</v>
      </c>
      <c r="B88" s="16"/>
      <c r="G88">
        <f>SUM(G86:G87)</f>
      </c>
    </row>
    <row r="89" spans="1:16" ht="14.25">
      <c r="A89" t="s" s="9">
        <v>48</v>
      </c>
      <c r="B89" s="16"/>
    </row>
    <row r="90" spans="1:16">
      <c r="A90" t="s" s="9">
        <v>123</v>
      </c>
    </row>
    <row r="91" spans="1:16" ht="14.25">
      <c r="A91" t="s" s="9">
        <v>75</v>
      </c>
      <c r="B91" s="16"/>
    </row>
    <row r="92" spans="1:16">
      <c r="A92" t="s" s="9">
        <v>77</v>
      </c>
    </row>
    <row r="93" spans="1:16">
      <c r="A93" t="s" s="9">
        <v>85</v>
      </c>
    </row>
    <row r="94" spans="1:16">
      <c r="A94" t="s" s="9">
        <v>124</v>
      </c>
    </row>
    <row r="95" spans="1:16">
      <c r="A95" t="s" s="9">
        <v>125</v>
      </c>
    </row>
    <row r="96" spans="1:16">
      <c r="A96" t="s" s="9">
        <v>126</v>
      </c>
    </row>
    <row r="97" spans="1:1">
      <c r="A97" t="s" s="9">
        <v>127</v>
      </c>
    </row>
    <row r="98" spans="1:1">
      <c r="A98" t="s" s="9">
        <v>128</v>
      </c>
    </row>
    <row r="99" spans="1:1">
      <c r="A99" t="s" s="9">
        <v>87</v>
      </c>
    </row>
    <row r="100" spans="1:1">
      <c r="A100" t="s" s="9">
        <v>74</v>
      </c>
    </row>
    <row r="101" spans="1:1">
      <c r="A101" t="s" s="9">
        <v>78</v>
      </c>
    </row>
    <row r="102" spans="1:1">
      <c r="A102" t="s" s="9">
        <v>129</v>
      </c>
    </row>
    <row r="103" spans="1:1">
      <c r="A103" t="s" s="9">
        <v>130</v>
      </c>
    </row>
    <row r="104" spans="1:1">
      <c r="A104" t="s" s="9">
        <v>100</v>
      </c>
    </row>
    <row r="105" spans="1:1">
      <c r="A105" t="s" s="9">
        <v>90</v>
      </c>
    </row>
    <row r="106" spans="1:1">
      <c r="A106" t="s" s="9">
        <v>131</v>
      </c>
    </row>
    <row r="107" spans="1:1">
      <c r="A107" t="s" s="9">
        <v>4</v>
      </c>
    </row>
    <row r="108" spans="1:1">
      <c r="A108" t="s" s="9">
        <v>132</v>
      </c>
    </row>
    <row r="109" spans="1:1">
      <c r="A109" t="s" s="9">
        <v>35</v>
      </c>
    </row>
    <row r="110" spans="1:1">
      <c r="A110" t="s" s="9">
        <v>133</v>
      </c>
    </row>
    <row r="111" spans="1:1">
      <c r="A111" t="s" s="9">
        <v>15</v>
      </c>
    </row>
    <row r="112" spans="1:1">
      <c r="A112" t="s" s="9">
        <v>134</v>
      </c>
    </row>
  </sheetData>
  <sortState xmlns:xlrd2="http://schemas.microsoft.com/office/spreadsheetml/2017/richdata2" ref="A2:B91">
    <sortCondition descending="1" ref="B2:B91"/>
  </sortState>
  <phoneticPr fontId="0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tbltransaction-organic</vt:lpstr>
      <vt:lpstr>tbltransaction-paid</vt:lpstr>
      <vt:lpstr>users-and-bounce-rate</vt:lpstr>
      <vt:lpstr>productsbouncerate</vt:lpstr>
      <vt:lpstr>Site - Month Graph</vt:lpstr>
      <vt:lpstr>No of Visitors</vt:lpstr>
      <vt:lpstr>Online Requests Trends</vt:lpstr>
      <vt:lpstr>Brochure And FlipBook Counts</vt:lpstr>
      <vt:lpstr>virtualshowroom</vt:lpstr>
      <vt:lpstr>Section Performance</vt:lpstr>
      <vt:lpstr>Traffic source</vt:lpstr>
      <vt:lpstr>age&amp;gender</vt:lpstr>
      <vt:lpstr>browser</vt:lpstr>
      <vt:lpstr>operatingSystem</vt:lpstr>
      <vt:lpstr>Landing&amp;Exits</vt:lpstr>
      <vt:lpstr>kpimonthly</vt:lpstr>
      <vt:lpstr>tfsinKpi</vt:lpstr>
      <vt:lpstr>referringSites</vt:lpstr>
      <vt:lpstr>MoM-Growth</vt:lpstr>
      <vt:lpstr>daywiseOneMonthVisits</vt:lpstr>
      <vt:lpstr>sesionIntrest</vt:lpstr>
      <vt:lpstr>networkReferral</vt:lpstr>
      <vt:lpstr>kpi-montly&amp;year</vt:lpstr>
      <vt:lpstr>Dealer-Website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2019-06-04T04:44:43Z</dcterms:created>
  <dcterms:modified xsi:type="dcterms:W3CDTF">2025-10-08T05:35:11Z</dcterms:modified>
</cp:coreProperties>
</file>