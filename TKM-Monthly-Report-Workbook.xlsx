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codeName="ThisWorkbook" defaultThemeVersion="124226"/>
  <xr:revisionPtr revIDLastSave="0" documentId="13_ncr:1_{2371C78A-1CF6-4D54-A1A3-0F425119EBEE}" xr6:coauthVersionLast="46" xr6:coauthVersionMax="47" xr10:uidLastSave="{00000000-0000-0000-0000-000000000000}"/>
  <bookViews>
    <workbookView xWindow="-120" yWindow="-120" windowWidth="29040" windowHeight="15720" tabRatio="775" firstSheet="13" activeTab="23" xr2:uid="{00000000-000D-0000-FFFF-FFFF00000000}"/>
  </bookViews>
  <sheets>
    <sheet name="MoM-Growth" sheetId="37" r:id="rId1"/>
    <sheet name="tbltransaction-organic" sheetId="44" r:id="rId2"/>
    <sheet name="tbltransaction-paid" sheetId="45" r:id="rId3"/>
    <sheet name="users-and-bounce-rate" sheetId="47" r:id="rId4"/>
    <sheet name="productsbouncerate" sheetId="48" r:id="rId5"/>
    <sheet name="Site - Month Graph" sheetId="3" r:id="rId6"/>
    <sheet name="No of Visitors" sheetId="7" r:id="rId7"/>
    <sheet name="Online Requests Trends" sheetId="18" r:id="rId8"/>
    <sheet name="Brochure And FlipBook Counts" sheetId="49" r:id="rId9"/>
    <sheet name="virtualshowroom" sheetId="50" r:id="rId10"/>
    <sheet name="Section Performance" sheetId="19" r:id="rId11"/>
    <sheet name="Traffic source" sheetId="29" r:id="rId12"/>
    <sheet name="age&amp;gender" sheetId="36" r:id="rId13"/>
    <sheet name="browser" sheetId="26" r:id="rId14"/>
    <sheet name="operatingSystem" sheetId="28" r:id="rId15"/>
    <sheet name="Landing&amp;Exits" sheetId="41" r:id="rId16"/>
    <sheet name="kpimonthly" sheetId="46" r:id="rId17"/>
    <sheet name="tfsinKpi" sheetId="51" r:id="rId18"/>
    <sheet name="referringSites" sheetId="52" r:id="rId19"/>
    <sheet name="daywiseOneMonthVisits" sheetId="54" r:id="rId20"/>
    <sheet name="sesionIntrest" sheetId="33" r:id="rId21"/>
    <sheet name="networkReferral" sheetId="53" r:id="rId22"/>
    <sheet name="kpi-montly&amp;year" sheetId="42" r:id="rId23"/>
    <sheet name="Dealer-Website" sheetId="14" r:id="rId24"/>
  </sheets>
  <definedNames>
    <definedName name="_xlnm._FilterDatabase" localSheetId="23" hidden="1">'Dealer-Website'!$B$1:$B$75</definedName>
    <definedName name="_xlnm._FilterDatabase" localSheetId="21" hidden="1">networkReferral!$A$1:$D$10</definedName>
    <definedName name="_xlnm._FilterDatabase" localSheetId="10" hidden="1">'Section Performance'!#REF!</definedName>
  </definedNames>
  <calcPr calcId="181029"/>
</workbook>
</file>

<file path=xl/calcChain.xml><?xml version="1.0" encoding="utf-8"?>
<calcChain xmlns="http://schemas.openxmlformats.org/spreadsheetml/2006/main">
  <c r="A17" i="19" l="1"/>
  <c r="D77" i="3"/>
  <c r="H34" i="3"/>
  <c r="D38" i="3"/>
  <c r="C2" i="37"/>
  <c r="B2" i="51"/>
  <c r="B1" i="51"/>
  <c r="F2" i="28"/>
  <c r="C3" i="28" s="1"/>
  <c r="C3" i="26"/>
  <c r="C4" i="26"/>
  <c r="C5" i="26"/>
  <c r="C6" i="26"/>
  <c r="C7" i="26"/>
  <c r="C8" i="26"/>
  <c r="C9" i="26"/>
  <c r="C10" i="26"/>
  <c r="C11" i="26"/>
  <c r="C12" i="26"/>
  <c r="C2" i="26"/>
  <c r="G2" i="26"/>
  <c r="C27" i="29"/>
  <c r="C26" i="29"/>
  <c r="C25" i="29"/>
  <c r="C24" i="29"/>
  <c r="C23" i="29"/>
  <c r="I4" i="48"/>
  <c r="D3" i="48" s="1"/>
  <c r="E3" i="48" s="1"/>
  <c r="D35" i="3"/>
  <c r="I107" i="42"/>
  <c r="J107" i="42" s="1"/>
  <c r="I106" i="42"/>
  <c r="C85" i="42"/>
  <c r="D48" i="42" s="1"/>
  <c r="H62" i="42"/>
  <c r="F62" i="42"/>
  <c r="D62" i="42"/>
  <c r="C62" i="42"/>
  <c r="H61" i="42"/>
  <c r="F61" i="42"/>
  <c r="D61" i="42"/>
  <c r="C61" i="42"/>
  <c r="H60" i="42"/>
  <c r="F60" i="42"/>
  <c r="D60" i="42"/>
  <c r="C60" i="42"/>
  <c r="H59" i="42"/>
  <c r="F59" i="42"/>
  <c r="D59" i="42"/>
  <c r="C59" i="42"/>
  <c r="H58" i="42"/>
  <c r="F58" i="42"/>
  <c r="D58" i="42"/>
  <c r="C58" i="42"/>
  <c r="H57" i="42"/>
  <c r="F57" i="42"/>
  <c r="D57" i="42"/>
  <c r="C57" i="42"/>
  <c r="H56" i="42"/>
  <c r="F56" i="42"/>
  <c r="D56" i="42"/>
  <c r="C56" i="42"/>
  <c r="H55" i="42"/>
  <c r="F55" i="42"/>
  <c r="D55" i="42"/>
  <c r="C55" i="42"/>
  <c r="H54" i="42"/>
  <c r="F54" i="42"/>
  <c r="D54" i="42"/>
  <c r="C54" i="42"/>
  <c r="H53" i="42"/>
  <c r="F53" i="42"/>
  <c r="D53" i="42"/>
  <c r="C53" i="42"/>
  <c r="H52" i="42"/>
  <c r="F52" i="42"/>
  <c r="D52" i="42"/>
  <c r="C52" i="42"/>
  <c r="H51" i="42"/>
  <c r="F51" i="42"/>
  <c r="D51" i="42"/>
  <c r="C51" i="42"/>
  <c r="H50" i="42"/>
  <c r="F50" i="42"/>
  <c r="D50" i="42"/>
  <c r="C50" i="42"/>
  <c r="H49" i="42"/>
  <c r="F49" i="42"/>
  <c r="D49" i="42"/>
  <c r="C49" i="42"/>
  <c r="H48" i="42"/>
  <c r="G48" i="42"/>
  <c r="F48" i="42"/>
  <c r="E48" i="42"/>
  <c r="H47" i="42"/>
  <c r="F47" i="42"/>
  <c r="D47" i="42"/>
  <c r="C47" i="42"/>
  <c r="H46" i="42"/>
  <c r="F46" i="42"/>
  <c r="C40" i="42"/>
  <c r="E7" i="42" s="1"/>
  <c r="I21" i="42"/>
  <c r="G21" i="42"/>
  <c r="E21" i="42"/>
  <c r="D21" i="42"/>
  <c r="I20" i="42"/>
  <c r="G20" i="42"/>
  <c r="E20" i="42"/>
  <c r="D20" i="42"/>
  <c r="I19" i="42"/>
  <c r="G19" i="42"/>
  <c r="E19" i="42"/>
  <c r="D19" i="42"/>
  <c r="I18" i="42"/>
  <c r="G18" i="42"/>
  <c r="E18" i="42"/>
  <c r="D18" i="42"/>
  <c r="I17" i="42"/>
  <c r="G17" i="42"/>
  <c r="E17" i="42"/>
  <c r="D17" i="42"/>
  <c r="I16" i="42"/>
  <c r="G16" i="42"/>
  <c r="E16" i="42"/>
  <c r="D16" i="42"/>
  <c r="I15" i="42"/>
  <c r="G15" i="42"/>
  <c r="E15" i="42"/>
  <c r="D15" i="42"/>
  <c r="I14" i="42"/>
  <c r="G14" i="42"/>
  <c r="E14" i="42"/>
  <c r="D14" i="42"/>
  <c r="I13" i="42"/>
  <c r="G13" i="42"/>
  <c r="E13" i="42"/>
  <c r="D13" i="42"/>
  <c r="I12" i="42"/>
  <c r="G12" i="42"/>
  <c r="E12" i="42"/>
  <c r="D12" i="42"/>
  <c r="I11" i="42"/>
  <c r="G11" i="42"/>
  <c r="E11" i="42"/>
  <c r="D11" i="42"/>
  <c r="I10" i="42"/>
  <c r="G10" i="42"/>
  <c r="E10" i="42"/>
  <c r="D10" i="42"/>
  <c r="I9" i="42"/>
  <c r="G9" i="42"/>
  <c r="E9" i="42"/>
  <c r="D9" i="42"/>
  <c r="I8" i="42"/>
  <c r="G8" i="42"/>
  <c r="E8" i="42"/>
  <c r="D8" i="42"/>
  <c r="I7" i="42"/>
  <c r="H7" i="42"/>
  <c r="G7" i="42"/>
  <c r="F7" i="42"/>
  <c r="I6" i="42"/>
  <c r="G6" i="42"/>
  <c r="E6" i="42"/>
  <c r="D6" i="42"/>
  <c r="I5" i="42"/>
  <c r="G5" i="42"/>
  <c r="R14" i="54"/>
  <c r="P14" i="54"/>
  <c r="N14" i="54"/>
  <c r="L14" i="54"/>
  <c r="J14" i="54"/>
  <c r="H14" i="54"/>
  <c r="F14" i="54"/>
  <c r="D14" i="54"/>
  <c r="C10" i="37"/>
  <c r="C9" i="37"/>
  <c r="C8" i="37"/>
  <c r="C7" i="37"/>
  <c r="C6" i="37"/>
  <c r="C5" i="37"/>
  <c r="C4" i="37"/>
  <c r="C3" i="37"/>
  <c r="D4387" i="52"/>
  <c r="B4387" i="52"/>
  <c r="E4387" i="52" s="1"/>
  <c r="C16" i="52"/>
  <c r="C15" i="52"/>
  <c r="C14" i="52"/>
  <c r="C13" i="52"/>
  <c r="C12" i="52"/>
  <c r="C11" i="52"/>
  <c r="C10" i="52"/>
  <c r="C9" i="52"/>
  <c r="C8" i="52"/>
  <c r="C7" i="52"/>
  <c r="C6" i="52"/>
  <c r="C5" i="52"/>
  <c r="C4" i="52"/>
  <c r="C3" i="52"/>
  <c r="C2" i="52"/>
  <c r="H33" i="46"/>
  <c r="G33" i="46"/>
  <c r="F33" i="46"/>
  <c r="E33" i="46"/>
  <c r="D33" i="46"/>
  <c r="C33" i="46"/>
  <c r="H31" i="46"/>
  <c r="F31" i="46"/>
  <c r="I2" i="46"/>
  <c r="F2" i="46"/>
  <c r="G2" i="46" s="1"/>
  <c r="C33" i="36"/>
  <c r="C31" i="36"/>
  <c r="D8" i="36"/>
  <c r="C8" i="36"/>
  <c r="D7" i="36"/>
  <c r="C32" i="36" s="1"/>
  <c r="D6" i="36"/>
  <c r="C6" i="36"/>
  <c r="D5" i="36"/>
  <c r="C5" i="36" s="1"/>
  <c r="D4" i="36"/>
  <c r="C4" i="36"/>
  <c r="D3" i="36"/>
  <c r="C3" i="36" s="1"/>
  <c r="D2" i="36"/>
  <c r="C2" i="36"/>
  <c r="H79" i="29"/>
  <c r="B79" i="29"/>
  <c r="I77" i="29"/>
  <c r="C77" i="29"/>
  <c r="I76" i="29"/>
  <c r="C76" i="29"/>
  <c r="I75" i="29"/>
  <c r="C75" i="29"/>
  <c r="I74" i="29"/>
  <c r="C74" i="29"/>
  <c r="I73" i="29"/>
  <c r="C73" i="29"/>
  <c r="I72" i="29"/>
  <c r="C72" i="29"/>
  <c r="I71" i="29"/>
  <c r="C71" i="29"/>
  <c r="I70" i="29"/>
  <c r="C70" i="29"/>
  <c r="I69" i="29"/>
  <c r="C69" i="29"/>
  <c r="I68" i="29"/>
  <c r="C68" i="29"/>
  <c r="I56" i="29"/>
  <c r="C56" i="29"/>
  <c r="I55" i="29"/>
  <c r="C55" i="29"/>
  <c r="I54" i="29"/>
  <c r="C54" i="29"/>
  <c r="I53" i="29"/>
  <c r="C53" i="29"/>
  <c r="I52" i="29"/>
  <c r="C52" i="29"/>
  <c r="I51" i="29"/>
  <c r="C51" i="29"/>
  <c r="I50" i="29"/>
  <c r="C50" i="29"/>
  <c r="I49" i="29"/>
  <c r="C49" i="29"/>
  <c r="I48" i="29"/>
  <c r="C48" i="29"/>
  <c r="I47" i="29"/>
  <c r="C47" i="29"/>
  <c r="C38" i="29"/>
  <c r="C37" i="29"/>
  <c r="C36" i="29"/>
  <c r="C35" i="29"/>
  <c r="C34" i="29"/>
  <c r="C33" i="29"/>
  <c r="C32" i="29"/>
  <c r="C31" i="29"/>
  <c r="C30" i="29"/>
  <c r="C29" i="29"/>
  <c r="C2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W38" i="19"/>
  <c r="W37" i="19"/>
  <c r="F37" i="19"/>
  <c r="D37" i="19"/>
  <c r="W36" i="19"/>
  <c r="F36" i="19"/>
  <c r="D36" i="19"/>
  <c r="W35" i="19"/>
  <c r="F35" i="19"/>
  <c r="D35" i="19"/>
  <c r="W34" i="19"/>
  <c r="F34" i="19"/>
  <c r="D34" i="19"/>
  <c r="W33" i="19"/>
  <c r="W39" i="19" s="1"/>
  <c r="F33" i="19"/>
  <c r="D33" i="19"/>
  <c r="W32" i="19"/>
  <c r="F32" i="19"/>
  <c r="D32" i="19"/>
  <c r="W31" i="19"/>
  <c r="F31" i="19"/>
  <c r="D31" i="19"/>
  <c r="W30" i="19"/>
  <c r="F30" i="19"/>
  <c r="D30" i="19"/>
  <c r="W29" i="19"/>
  <c r="F29" i="19"/>
  <c r="D29" i="19"/>
  <c r="W28" i="19"/>
  <c r="F28" i="19"/>
  <c r="F38" i="19" s="1"/>
  <c r="D28" i="19"/>
  <c r="D38" i="19" s="1"/>
  <c r="A40" i="19" s="1"/>
  <c r="W27" i="19"/>
  <c r="F13" i="19"/>
  <c r="D13" i="19"/>
  <c r="F12" i="19"/>
  <c r="D12" i="19"/>
  <c r="F11" i="19"/>
  <c r="D11" i="19"/>
  <c r="F10" i="19"/>
  <c r="D10" i="19"/>
  <c r="F9" i="19"/>
  <c r="D9" i="19"/>
  <c r="F8" i="19"/>
  <c r="D8" i="19"/>
  <c r="F7" i="19"/>
  <c r="D7" i="19"/>
  <c r="F6" i="19"/>
  <c r="D6" i="19"/>
  <c r="F5" i="19"/>
  <c r="D5" i="19"/>
  <c r="F4" i="19"/>
  <c r="F14" i="19" s="1"/>
  <c r="D4" i="19"/>
  <c r="D14" i="19" s="1"/>
  <c r="E7" i="18"/>
  <c r="B14" i="18" s="1"/>
  <c r="E77" i="3"/>
  <c r="E76" i="3"/>
  <c r="D76" i="3"/>
  <c r="E38" i="3"/>
  <c r="E37" i="3"/>
  <c r="D37" i="3"/>
  <c r="E36" i="3"/>
  <c r="D36" i="3"/>
  <c r="E35" i="3"/>
  <c r="M9" i="45"/>
  <c r="L9" i="45"/>
  <c r="K9" i="45"/>
  <c r="J9" i="45"/>
  <c r="I9" i="45"/>
  <c r="H9" i="45"/>
  <c r="G9" i="45"/>
  <c r="F9" i="45"/>
  <c r="E9" i="45"/>
  <c r="D9" i="45"/>
  <c r="C9" i="45"/>
  <c r="B9" i="45"/>
  <c r="M9" i="44"/>
  <c r="L9" i="44"/>
  <c r="K9" i="44"/>
  <c r="J9" i="44"/>
  <c r="I9" i="44"/>
  <c r="H9" i="44"/>
  <c r="G9" i="44"/>
  <c r="F9" i="44"/>
  <c r="E9" i="44"/>
  <c r="D9" i="44"/>
  <c r="C9" i="44"/>
  <c r="B9" i="44"/>
  <c r="N8" i="44"/>
  <c r="C2" i="28" l="1"/>
  <c r="C12" i="28"/>
  <c r="C11" i="28"/>
  <c r="C10" i="28"/>
  <c r="C9" i="28"/>
  <c r="C8" i="28"/>
  <c r="C7" i="28"/>
  <c r="C6" i="28"/>
  <c r="C5" i="28"/>
  <c r="C4" i="28"/>
  <c r="D10" i="48"/>
  <c r="E10" i="48" s="1"/>
  <c r="D13" i="48"/>
  <c r="E13" i="48" s="1"/>
  <c r="D8" i="48"/>
  <c r="E8" i="48" s="1"/>
  <c r="D12" i="48"/>
  <c r="E12" i="48" s="1"/>
  <c r="D9" i="48"/>
  <c r="E9" i="48" s="1"/>
  <c r="D6" i="48"/>
  <c r="E6" i="48" s="1"/>
  <c r="D5" i="48"/>
  <c r="E5" i="48" s="1"/>
  <c r="D11" i="48"/>
  <c r="E11" i="48" s="1"/>
  <c r="D4" i="48"/>
  <c r="E4" i="48" s="1"/>
  <c r="D2" i="48"/>
  <c r="E2" i="48" s="1"/>
  <c r="D7" i="48"/>
  <c r="E7" i="48" s="1"/>
  <c r="C7" i="36"/>
  <c r="F3" i="18"/>
  <c r="F4" i="18"/>
  <c r="B16" i="18" s="1"/>
  <c r="F5" i="18"/>
  <c r="B18" i="18" s="1"/>
  <c r="F6" i="18"/>
  <c r="C18" i="18" s="1"/>
  <c r="C16" i="18" l="1"/>
  <c r="F7" i="18"/>
</calcChain>
</file>

<file path=xl/sharedStrings.xml><?xml version="1.0" encoding="utf-8"?>
<sst xmlns="http://schemas.openxmlformats.org/spreadsheetml/2006/main" count="998" uniqueCount="611">
  <si>
    <t>Visits</t>
  </si>
  <si>
    <t>Page Views</t>
  </si>
  <si>
    <t>Month</t>
  </si>
  <si>
    <t>Bebbco Toyota</t>
  </si>
  <si>
    <t>Castle Toyota</t>
  </si>
  <si>
    <t>Commercial Toyota</t>
  </si>
  <si>
    <t>Harsha Toyota</t>
  </si>
  <si>
    <t>Lanson Toyota</t>
  </si>
  <si>
    <t>Rajendra Toyota</t>
  </si>
  <si>
    <t>Sharayu Toyota</t>
  </si>
  <si>
    <t>Shodha Toyota</t>
  </si>
  <si>
    <t>Shree Toyota</t>
  </si>
  <si>
    <t>Sunny Toyota</t>
  </si>
  <si>
    <t>United Toyota</t>
  </si>
  <si>
    <t>Dealership</t>
  </si>
  <si>
    <t>Buy Now</t>
  </si>
  <si>
    <t>Test Drive</t>
  </si>
  <si>
    <t>Brochure</t>
  </si>
  <si>
    <t>%</t>
  </si>
  <si>
    <t>Amana Toyota</t>
  </si>
  <si>
    <t>Nandi Toyota</t>
  </si>
  <si>
    <t>Ravindu Toyota</t>
  </si>
  <si>
    <t>Palace Toyota</t>
  </si>
  <si>
    <t>Madhuban Toyota</t>
  </si>
  <si>
    <t>Grand Toyota</t>
  </si>
  <si>
    <t>Rajpal Toyota</t>
  </si>
  <si>
    <t>Date(mm/dd/yyyy)</t>
  </si>
  <si>
    <t>Topsel Toyota</t>
  </si>
  <si>
    <t>Millennium Toyota</t>
  </si>
  <si>
    <t>Nippon Toyota</t>
  </si>
  <si>
    <t>BJS Toyota</t>
  </si>
  <si>
    <t>Karuna Toyota</t>
  </si>
  <si>
    <t>Thirty Six Toyota</t>
  </si>
  <si>
    <t>Satyam Toyota</t>
  </si>
  <si>
    <t>Malik Toyota</t>
  </si>
  <si>
    <t>Chaudhari Toyota</t>
  </si>
  <si>
    <t>Rathod Toyota</t>
  </si>
  <si>
    <t>Jai Ganesh Toyota</t>
  </si>
  <si>
    <t>Om Toyota</t>
  </si>
  <si>
    <t>Sonak Toyota</t>
  </si>
  <si>
    <t>Anant Toyota</t>
  </si>
  <si>
    <t>Rajyog Toyota</t>
  </si>
  <si>
    <t>Borah Toyota</t>
  </si>
  <si>
    <t>Podder Toyota</t>
  </si>
  <si>
    <t>Okusa Toyota</t>
  </si>
  <si>
    <t>Gargya Toyota</t>
  </si>
  <si>
    <t>JMK Toyota</t>
  </si>
  <si>
    <t>Saini Toyota</t>
  </si>
  <si>
    <t>Ansari Toyota</t>
  </si>
  <si>
    <t>Kakatiya Toyota</t>
  </si>
  <si>
    <t>Mascot Toyota</t>
  </si>
  <si>
    <t>Total</t>
  </si>
  <si>
    <t>views</t>
  </si>
  <si>
    <t>Sessions</t>
  </si>
  <si>
    <t>Grievance</t>
  </si>
  <si>
    <t>Requests</t>
  </si>
  <si>
    <t>/</t>
  </si>
  <si>
    <t>/showroom/innova/</t>
  </si>
  <si>
    <t>/pricelist/</t>
  </si>
  <si>
    <t>/showroom/glanza/</t>
  </si>
  <si>
    <t xml:space="preserve">Rudra Toyota </t>
  </si>
  <si>
    <t>Automotive Toyota</t>
  </si>
  <si>
    <t>Rajesh Toyota</t>
  </si>
  <si>
    <t>Punya Toyota</t>
  </si>
  <si>
    <t>Aravali Toyota</t>
  </si>
  <si>
    <t>Nanavati Toyota</t>
  </si>
  <si>
    <t>Narmada Toyota</t>
  </si>
  <si>
    <t>Shakti Toyota</t>
  </si>
  <si>
    <t>Kaizen Toyota</t>
  </si>
  <si>
    <t>Sanghi Toyota</t>
  </si>
  <si>
    <t>Heritage Toyota</t>
  </si>
  <si>
    <t>Shaw Toyota</t>
  </si>
  <si>
    <t>Satkar Toyota</t>
  </si>
  <si>
    <t>Dhanbad Toyota</t>
  </si>
  <si>
    <t>Sant Toyota</t>
  </si>
  <si>
    <t>Trust Toyota</t>
  </si>
  <si>
    <t>Camdir Toyota</t>
  </si>
  <si>
    <t>Patni Toyota</t>
  </si>
  <si>
    <t>IJM Toyota</t>
  </si>
  <si>
    <t>Highland Toyota</t>
  </si>
  <si>
    <t>/mobility-solutions/</t>
  </si>
  <si>
    <t>/showroom/camry/</t>
  </si>
  <si>
    <t>Users</t>
  </si>
  <si>
    <t>Pageviews</t>
  </si>
  <si>
    <t>Unique Pageviews</t>
  </si>
  <si>
    <t>Select Toyota</t>
  </si>
  <si>
    <t>AkashKrish Toyota</t>
  </si>
  <si>
    <t>Capital Toyota</t>
  </si>
  <si>
    <t>Prakash Toyota</t>
  </si>
  <si>
    <t>Dhir Toyota</t>
  </si>
  <si>
    <t>Fortune Toyota</t>
  </si>
  <si>
    <t>Anaamalais Toyota</t>
  </si>
  <si>
    <t>Default Channel Grouping</t>
  </si>
  <si>
    <t xml:space="preserve"> Toyota Vellfire</t>
  </si>
  <si>
    <t>Uttam Toyota</t>
  </si>
  <si>
    <t>Wasan Toyota</t>
  </si>
  <si>
    <t>Anand Toyota</t>
  </si>
  <si>
    <t>Palco Toyota</t>
  </si>
  <si>
    <t>Mody Toyota</t>
  </si>
  <si>
    <t>J D Toyota</t>
  </si>
  <si>
    <t>DJ Toyota</t>
  </si>
  <si>
    <t>Lakshmi Toyota</t>
  </si>
  <si>
    <t>Espirit Toyota</t>
  </si>
  <si>
    <t>Neelam Toyota</t>
  </si>
  <si>
    <t>Mayank Toyota</t>
  </si>
  <si>
    <t>Durgapur Toyota</t>
  </si>
  <si>
    <t>Munjani Toyota</t>
  </si>
  <si>
    <t>Pruthvi Toyota</t>
  </si>
  <si>
    <t>Swarn Toyota</t>
  </si>
  <si>
    <t>Laxmi Toyota</t>
  </si>
  <si>
    <t>Bhagawati Toyota</t>
  </si>
  <si>
    <t>Digvijay Toyota</t>
  </si>
  <si>
    <t>Sequel Toyota</t>
  </si>
  <si>
    <t>Poddar Toyota</t>
  </si>
  <si>
    <t>Murli Toyota</t>
  </si>
  <si>
    <t>Aditya Toyota</t>
  </si>
  <si>
    <t>R S Toyota</t>
  </si>
  <si>
    <t>Mohan Toyota</t>
  </si>
  <si>
    <t>Preet Toyota</t>
  </si>
  <si>
    <t>JSM Motors</t>
  </si>
  <si>
    <t>Crystal Toyota</t>
  </si>
  <si>
    <t>Zote Toyota</t>
  </si>
  <si>
    <t>Regent Toyota</t>
  </si>
  <si>
    <t>Autowings Toyota</t>
  </si>
  <si>
    <t>/showroom/fortuner/index-fortuner.html</t>
  </si>
  <si>
    <t>/showroom/urbancruiser-hyryder/</t>
  </si>
  <si>
    <t>/showroom/rumion/</t>
  </si>
  <si>
    <t>/showroom/innova-crysta/</t>
  </si>
  <si>
    <t>/showroom/hilux/</t>
  </si>
  <si>
    <t>(Month 2 - Month 1) / Month 1 * 100</t>
  </si>
  <si>
    <t>/showroom/vellfire/</t>
  </si>
  <si>
    <t>/showroom/lc300/</t>
  </si>
  <si>
    <t xml:space="preserve"> Toyota Lc300</t>
  </si>
  <si>
    <t>/showroom/urbancruiser-taisor/</t>
  </si>
  <si>
    <t xml:space="preserve"> Toyota Urbancruiser Taisor</t>
  </si>
  <si>
    <t xml:space="preserve"> Toyota Camry</t>
  </si>
  <si>
    <t xml:space="preserve"> Toyota Glanza</t>
  </si>
  <si>
    <t xml:space="preserve"> Toyota Urbancruiser Hyryder</t>
  </si>
  <si>
    <t xml:space="preserve"> Toyota Innova Hycross</t>
  </si>
  <si>
    <t xml:space="preserve"> Toyota Hilux</t>
  </si>
  <si>
    <t xml:space="preserve"> Toyota Innova Crysta</t>
  </si>
  <si>
    <t xml:space="preserve"> Toyota Fortuner</t>
  </si>
  <si>
    <t xml:space="preserve"> Toyota Rumion</t>
  </si>
  <si>
    <t>Page Views(Overall)</t>
  </si>
  <si>
    <t>Page Views(Mobile)</t>
  </si>
  <si>
    <t>Unique Visit</t>
  </si>
  <si>
    <t>Unique Visit(Overall)</t>
  </si>
  <si>
    <t>Unique Visit(Mobile)</t>
  </si>
  <si>
    <t>OVERALL</t>
  </si>
  <si>
    <t>MOBILE</t>
  </si>
  <si>
    <t>Tottal</t>
  </si>
  <si>
    <t xml:space="preserve">Percentage </t>
  </si>
  <si>
    <t>Page path</t>
  </si>
  <si>
    <t>S.No</t>
  </si>
  <si>
    <t>YEAR TO TILL</t>
  </si>
  <si>
    <t>Mothly</t>
  </si>
  <si>
    <t>Views</t>
  </si>
  <si>
    <t>Totall</t>
  </si>
  <si>
    <t>Average per day</t>
  </si>
  <si>
    <t>lowest</t>
  </si>
  <si>
    <t>lowest On</t>
  </si>
  <si>
    <t>Car Chapters</t>
  </si>
  <si>
    <t>Glanza</t>
  </si>
  <si>
    <t>Download Brochure - Glanza</t>
  </si>
  <si>
    <t>Urban Cruiser Taisor</t>
  </si>
  <si>
    <t>Download Brochure - Urban Cruiser Taisor</t>
  </si>
  <si>
    <t>Rumion</t>
  </si>
  <si>
    <t>Download Brochure - Rumion</t>
  </si>
  <si>
    <t>Urban Cruiser Hyryder</t>
  </si>
  <si>
    <t>Download Brochure - Urban Cruiser Hyryder</t>
  </si>
  <si>
    <t>Innova Crysta</t>
  </si>
  <si>
    <t>Download Brochure - Innova Crysta</t>
  </si>
  <si>
    <t>Innova Hycross</t>
  </si>
  <si>
    <t>Download Brochure - Innova Hycross</t>
  </si>
  <si>
    <t>Hilux</t>
  </si>
  <si>
    <t>Fortuner</t>
  </si>
  <si>
    <t>Download Brochure - Fortuner</t>
  </si>
  <si>
    <t>Legender</t>
  </si>
  <si>
    <t>Download Brochure - Legender</t>
  </si>
  <si>
    <t>Camry</t>
  </si>
  <si>
    <t>Download Brochure - Camry</t>
  </si>
  <si>
    <t>Vellfire</t>
  </si>
  <si>
    <t>Download Brochure - Vellfire</t>
  </si>
  <si>
    <t>Land Cruiser 300</t>
  </si>
  <si>
    <t>Download Brochure - Land Cruiser 300</t>
  </si>
  <si>
    <t>Brochure Downloaded Clicks label name</t>
  </si>
  <si>
    <t>https://analytics.google.com/analytics/web/?utm_source=marketingplatform.google.com&amp;utm_medium=et&amp;utm_campaign=marketingplatform.google.com%2Fabout%2Fanalytics%2F#/p353077807/reports/explorer?params=_u..nav%3Dmaui%26_u.comparisonOption%3Ddisabled%26_u.date00%3D20240901%26_u.date01%3D20240930%26_r..dataFilters%3D%5B%7B%22type%22:1,%22fieldName%22:%22unifiedPagePathScreen%22,%22evaluationType%22:8,%22expressionList%22:%5B%22%252Fshowroom%252Finnova%252F%22,%22%252F%22,%22%252Fshowroom%252Furbancruiser-hyryder%252F%22,%22%252Fshowroom%252Frumion%252F%22,%22%252Fshowroom%252Furbancruiser-taisor%252F%22,%22%252Fshowroom%252Ffortuner%252Findex-fortuner.html%22,%22%252Fshowroom%252Finnova-crysta%252F%22,%22%252Fshowroom%252Fglanza%252F%22,%22%252Fshowroom%252Fhilux%252F%22,%22%252Fshowroom%252Ffortuner%252Findex-legender.html%22,%22%252Fshowroom%252Fcamry%252F%22,%22%252Fshowroom%252Fvellfire%252F%22,%22%252Fshowroom%252Flc300%252F%22,%22%252Ftoyota-in-india%252Fdelivery-lead-time%252F%22,%22%252Fmobility-solutions%252F%22%5D,%22complement%22:false,%22isCaseSensitive%22:true,%22expression%22:%22%22%7D%5D%26_r.explorerCard..startRow%3D0%26_r.explorerCard..rowsPerPage%3D25&amp;r=6510807527&amp;ruid=all-pages-and-screens,life-cycle,engagement&amp;collectionId=6342606963</t>
  </si>
  <si>
    <t>Sl. No.</t>
  </si>
  <si>
    <t>Pages</t>
  </si>
  <si>
    <t>Avg. Load Time</t>
  </si>
  <si>
    <t>Bounce Rate</t>
  </si>
  <si>
    <t>Time Spent</t>
  </si>
  <si>
    <t>Total Pageviews</t>
  </si>
  <si>
    <t>Per day Avg</t>
  </si>
  <si>
    <t>Total Unique Pageviews</t>
  </si>
  <si>
    <t>Per day Avg.</t>
  </si>
  <si>
    <t>Overall Website (Avg)</t>
  </si>
  <si>
    <t>Home Page</t>
  </si>
  <si>
    <t>Product Pages (Avg)</t>
  </si>
  <si>
    <t xml:space="preserve">Innova Hycross </t>
  </si>
  <si>
    <t>LC300</t>
  </si>
  <si>
    <t>UC Hyryder</t>
  </si>
  <si>
    <t>UC Taisor</t>
  </si>
  <si>
    <t>Mobility Solution</t>
  </si>
  <si>
    <t>Delivery Lead Time</t>
  </si>
  <si>
    <t>Page path and screen class</t>
  </si>
  <si>
    <t>Bounce rate</t>
  </si>
  <si>
    <t>Average session duration</t>
  </si>
  <si>
    <t>Active users</t>
  </si>
  <si>
    <t>avg of product</t>
  </si>
  <si>
    <t>camry/</t>
  </si>
  <si>
    <t>fortuner.html</t>
  </si>
  <si>
    <t>fortuner/index-legender.html</t>
  </si>
  <si>
    <t>glanza/</t>
  </si>
  <si>
    <t>hilux/</t>
  </si>
  <si>
    <t>innova/</t>
  </si>
  <si>
    <t>innova-crysta/</t>
  </si>
  <si>
    <t>lc300/</t>
  </si>
  <si>
    <t>rumion/</t>
  </si>
  <si>
    <t>urbancruiser-hyryder/</t>
  </si>
  <si>
    <t>urbancruiser-taisor/</t>
  </si>
  <si>
    <t>vellfire/</t>
  </si>
  <si>
    <t>mobility-solutions/</t>
  </si>
  <si>
    <t>toyota-in-india/delivery-lead-time/</t>
  </si>
  <si>
    <t xml:space="preserve"> </t>
  </si>
  <si>
    <t>fortuner/index-fortuner.html</t>
  </si>
  <si>
    <t>/campaign/glanza/index.html</t>
  </si>
  <si>
    <t xml:space="preserve"> Toyota Legender</t>
  </si>
  <si>
    <t>Anaamalais Toyota Trichy</t>
  </si>
  <si>
    <t>Viva Toyota</t>
  </si>
  <si>
    <t>Globe Toyota</t>
  </si>
  <si>
    <t>month 1(last)</t>
  </si>
  <si>
    <t>month 2(current)</t>
  </si>
  <si>
    <t>Download Brochure - Hilux</t>
  </si>
  <si>
    <t>Legender Tab</t>
  </si>
  <si>
    <t>New Fortuner Tab</t>
  </si>
  <si>
    <t>View B</t>
  </si>
  <si>
    <t>Car Chapter View Brochure</t>
  </si>
  <si>
    <t>/showroom/fortuner/index-legender.html</t>
  </si>
  <si>
    <t>/toyota-in-india/delivery-lead-time/</t>
  </si>
  <si>
    <t>https://analytics.google.com/analytics/web/?authuser=0#/p353077807/reports/explorer?params=_u..nav%3Dmaui%26_u.comparisonOption%3Ddisabled%26_u.date00%3D20250101%26_u.date01%3D20250630%26_r..dataFilters%3D%5B%7B%22type%22:1,%22fieldName%22:%22customDimensionsGroup2Slot06%22,%22evaluationType%22:8,%22expressionList%22:%5B%22Download%20Brochure%20-%20Urban%20Cruiser%20Hyryder%22,%22Download%20Brochure%20-%20Innova%20Hycross%22,%22Download%20Brochure%20-%20Urban%20Cruiser%20Taisor%22,%22Download%20Brochure%20-%20Vellfire%22,%22Download%20Brochure%20-%20Hilux%22,%22Download%20Brochure%20-%20Land%20Cruiser%20300%22,%22Download%20Brochure%20-%20Rumion%22,%22Download%20Brochure%20-%20Camry%22,%22Download%20Brochure%20-%20Fortuner%22,%22Download%20Brochure%20-%20Innova%20Crysta%22,%22Download%20Brochure%20-%20Legender%22%5D,%22complement%22:false,%22isCaseSensitive%22:true,%22expression%22:%22%22%7D%5D%26_r.copa-filter-builder..filter-to-edit%3D%5B%7B%22type%22:1,%22fieldName%22:%22customDimensionsGroup2Slot06%22,%22evaluationType%22:8,%22expressionList%22:%5B%22Download%20Brochure%20-%20Urban%20Cruiser%20Hyryder%22,%22Download%20Brochure%20-%20Innova%20Hycross%22,%22Download%20Brochure%20-%20Urban%20Cruiser%20Taisor%22,%22Download%20Brochure%20-%20Vellfire%22,%22Download%20Brochure%20-%20Hilux%22,%22Download%20Brochure%20-%20Land%20Cruiser%20300%22,%22Download%20Brochure%20-%20Rumion%22,%22Download%20Brochure%20-%20Camry%22,%22Download%20Brochure%20-%20Fortuner%22,%22Download%20Brochure%20-%20Innova%20Crysta%22,%22Download%20Brochure%20-%20Legender%22%5D,%22complement%22:false,%22isCaseSensitive%22:true,%22expression%22:%22%22%7D%5D%26_r.explorerCard..seldim%3D%5B%22eventName%22,%22customDimensionsGroup2Slot06%22%5D%26_r.explorerCard..startRow%3D0%26_r.explorerCard..rowsPerPage%3D25&amp;ruid=top-events,life-cycle,engagement&amp;collectionId=6342606963&amp;r=7537197290</t>
  </si>
  <si>
    <t>Apr 2025</t>
  </si>
  <si>
    <t>May 2025</t>
  </si>
  <si>
    <t>Jun 2025</t>
  </si>
  <si>
    <t xml:space="preserve">Total(model-wise) </t>
  </si>
  <si>
    <t>Months</t>
  </si>
  <si>
    <t>Device</t>
  </si>
  <si>
    <t>Desktop Users</t>
  </si>
  <si>
    <t>Mobile Users</t>
  </si>
  <si>
    <t xml:space="preserve">MobileUsers </t>
  </si>
  <si>
    <t>Date</t>
  </si>
  <si>
    <t>Enquiry:-</t>
  </si>
  <si>
    <t>Month_Year</t>
  </si>
  <si>
    <t>Lead</t>
  </si>
  <si>
    <t>May-2025</t>
  </si>
  <si>
    <t>Jun-2025</t>
  </si>
  <si>
    <t>Brochure Downloaded Clicks</t>
  </si>
  <si>
    <t>Flipbook Clicks</t>
  </si>
  <si>
    <t>Download Brochure  Page Views</t>
  </si>
  <si>
    <t>Rumion Tab</t>
  </si>
  <si>
    <t>Virtual Showroom Car Chapters</t>
  </si>
  <si>
    <t>Avg Time Spent</t>
  </si>
  <si>
    <t>Percentage</t>
  </si>
  <si>
    <t>Final output</t>
  </si>
  <si>
    <t>SOURCES</t>
  </si>
  <si>
    <t>VISITS</t>
  </si>
  <si>
    <t>% VISITS</t>
  </si>
  <si>
    <t>SOURCE(Only Organic)</t>
  </si>
  <si>
    <t xml:space="preserve">VISITS </t>
  </si>
  <si>
    <t xml:space="preserve">PAGES/VISIT  </t>
  </si>
  <si>
    <t>overall</t>
  </si>
  <si>
    <t>mobile</t>
  </si>
  <si>
    <t>Cross-network</t>
  </si>
  <si>
    <t>Organic Search</t>
  </si>
  <si>
    <t>Paid Search</t>
  </si>
  <si>
    <t>Display</t>
  </si>
  <si>
    <t>Paid Social</t>
  </si>
  <si>
    <t>Unassigned</t>
  </si>
  <si>
    <t>Direct</t>
  </si>
  <si>
    <t>Paid Shopping</t>
  </si>
  <si>
    <t>Referral</t>
  </si>
  <si>
    <t>Paid Video</t>
  </si>
  <si>
    <t>Organic Social</t>
  </si>
  <si>
    <t>Organic Video</t>
  </si>
  <si>
    <t>Paid Other</t>
  </si>
  <si>
    <t>Mobile Push Notifications</t>
  </si>
  <si>
    <t>Organic Shopping</t>
  </si>
  <si>
    <t>Email</t>
  </si>
  <si>
    <t>google / cpc</t>
  </si>
  <si>
    <t>google / organic</t>
  </si>
  <si>
    <t>facebook / cpc</t>
  </si>
  <si>
    <t>(direct) / (none)</t>
  </si>
  <si>
    <t>facebook / cpl</t>
  </si>
  <si>
    <t>duckduckgo / organic</t>
  </si>
  <si>
    <t>bing / organic</t>
  </si>
  <si>
    <t>yahoo / organic</t>
  </si>
  <si>
    <t>ecosia.org / organic</t>
  </si>
  <si>
    <t>yandex / organic</t>
  </si>
  <si>
    <t>baidu / organic</t>
  </si>
  <si>
    <t>instagram / Organic</t>
  </si>
  <si>
    <t>naver / organic</t>
  </si>
  <si>
    <t>instagram / organic</t>
  </si>
  <si>
    <t>Chrome</t>
  </si>
  <si>
    <t>Android Webview</t>
  </si>
  <si>
    <t>Safari</t>
  </si>
  <si>
    <t>Safari (in-app)</t>
  </si>
  <si>
    <t>Samsung Internet</t>
  </si>
  <si>
    <t>Edge</t>
  </si>
  <si>
    <t>Firefox</t>
  </si>
  <si>
    <t>Opera</t>
  </si>
  <si>
    <t>(not set)</t>
  </si>
  <si>
    <t>UC Browser</t>
  </si>
  <si>
    <t>Android</t>
  </si>
  <si>
    <t>iOS</t>
  </si>
  <si>
    <t>Windows</t>
  </si>
  <si>
    <t>Macintosh</t>
  </si>
  <si>
    <t>Linux</t>
  </si>
  <si>
    <t>Chrome OS</t>
  </si>
  <si>
    <t>Tizen</t>
  </si>
  <si>
    <t>Xbox</t>
  </si>
  <si>
    <t>Android Browser</t>
  </si>
  <si>
    <t>Mozilla Compatible Agent</t>
  </si>
  <si>
    <t>PAGE</t>
  </si>
  <si>
    <t>PAGES / VISITS</t>
  </si>
  <si>
    <t>&lt;===  OverAll</t>
  </si>
  <si>
    <t>&lt;===  mobile</t>
  </si>
  <si>
    <t xml:space="preserve"> Per day Avg </t>
  </si>
  <si>
    <t xml:space="preserve"> Per day Avg. </t>
  </si>
  <si>
    <t xml:space="preserve"> Overall Website (Avg)</t>
  </si>
  <si>
    <t xml:space="preserve"> Home Page</t>
  </si>
  <si>
    <t xml:space="preserve"> Product Pages (Avg)</t>
  </si>
  <si>
    <t xml:space="preserve"> Camry</t>
  </si>
  <si>
    <t xml:space="preserve"> Fortuner</t>
  </si>
  <si>
    <t xml:space="preserve"> Legender</t>
  </si>
  <si>
    <t xml:space="preserve"> Glanza</t>
  </si>
  <si>
    <t xml:space="preserve"> Hilux</t>
  </si>
  <si>
    <t xml:space="preserve"> Innova Crysta</t>
  </si>
  <si>
    <t xml:space="preserve"> LC300</t>
  </si>
  <si>
    <t xml:space="preserve"> Rumion</t>
  </si>
  <si>
    <t xml:space="preserve"> UC Hyryder</t>
  </si>
  <si>
    <t xml:space="preserve"> UC Taisor</t>
  </si>
  <si>
    <t xml:space="preserve"> Vellfire</t>
  </si>
  <si>
    <t xml:space="preserve"> Mobility Solution</t>
  </si>
  <si>
    <t xml:space="preserve"> Innova Hycross</t>
  </si>
  <si>
    <t>160,598 </t>
  </si>
  <si>
    <t>No. of Monthly Visitors (Toyotabharat website)</t>
  </si>
  <si>
    <t>Online Enquiries/Leads(organic leads)</t>
  </si>
  <si>
    <t>No. of Visitors for TFS Landing Page</t>
  </si>
  <si>
    <t>No. of Visitors for EMI Calculator</t>
  </si>
  <si>
    <t>No. of Apply for Loan Clicks</t>
  </si>
  <si>
    <t>No. of Clicks on TFS Logo placed on Page Footer</t>
  </si>
  <si>
    <t>SOURCE</t>
  </si>
  <si>
    <t xml:space="preserve">PAGES/VISIT </t>
  </si>
  <si>
    <t>toyotapartsconnect.in / referral</t>
  </si>
  <si>
    <t>toyotafinance.co.in / referral</t>
  </si>
  <si>
    <t>nippon-toyota.com / referral</t>
  </si>
  <si>
    <t>surveys.numr.app / referral</t>
  </si>
  <si>
    <t>amanatoyota.com / referral</t>
  </si>
  <si>
    <t>chatgpt.com / referral</t>
  </si>
  <si>
    <t>l.wl.co / referral</t>
  </si>
  <si>
    <t>anaamalaistoyota.com / referral</t>
  </si>
  <si>
    <t>millennium-toyota.com / referral</t>
  </si>
  <si>
    <t xml:space="preserve">SOCIAL NETWORK </t>
  </si>
  <si>
    <t>PAGE VIEWS</t>
  </si>
  <si>
    <t xml:space="preserve">PAGES / VISITS   </t>
  </si>
  <si>
    <t>News &amp; Politics/Avid News Readers</t>
  </si>
  <si>
    <t>Banking &amp; Finance/Avid Investors</t>
  </si>
  <si>
    <t>News &amp; Politics/Avid News Readers/Entertainment News Enthusiasts</t>
  </si>
  <si>
    <t>Sports &amp; Fitness/Sports Fans/Cricket Enthusiasts</t>
  </si>
  <si>
    <t>Technology/Mobile Enthusiasts</t>
  </si>
  <si>
    <t>Travel/Travel Buffs</t>
  </si>
  <si>
    <t>Technology/Technophiles</t>
  </si>
  <si>
    <t>Media &amp; Entertainment/Movie Lovers/Fans of South Asian Film</t>
  </si>
  <si>
    <t>News &amp; Politics/Avid News Readers/Avid Business News Readers</t>
  </si>
  <si>
    <t>Vehicles &amp; Transportation/Auto Enthusiasts</t>
  </si>
  <si>
    <t>Sports &amp; Fitness/Sports Fans</t>
  </si>
  <si>
    <t>Lifestyles &amp; Hobbies/Shutterbugs</t>
  </si>
  <si>
    <t>Media &amp; Entertainment/Movie Lovers</t>
  </si>
  <si>
    <t>BRANDINGINTEREST</t>
  </si>
  <si>
    <t>SESSIONS</t>
  </si>
  <si>
    <t>=</t>
  </si>
  <si>
    <t>userAgeBracket</t>
  </si>
  <si>
    <t>sessions</t>
  </si>
  <si>
    <t>unknown</t>
  </si>
  <si>
    <t>25-34</t>
  </si>
  <si>
    <t>35-44</t>
  </si>
  <si>
    <t>18-24</t>
  </si>
  <si>
    <t>45-54</t>
  </si>
  <si>
    <t>55-64</t>
  </si>
  <si>
    <t>65+</t>
  </si>
  <si>
    <t>userGender</t>
  </si>
  <si>
    <t>male</t>
  </si>
  <si>
    <t>female</t>
  </si>
  <si>
    <t>/showroom/vellfire</t>
  </si>
  <si>
    <t>/showroom/glanza</t>
  </si>
  <si>
    <t>/showroom/urbancruiser-hyryder</t>
  </si>
  <si>
    <t>/showroom/innova-crysta</t>
  </si>
  <si>
    <t>/showroom/innova</t>
  </si>
  <si>
    <t>facebook</t>
  </si>
  <si>
    <t>instagram</t>
  </si>
  <si>
    <t>linkedin</t>
  </si>
  <si>
    <t>t.co / referral</t>
  </si>
  <si>
    <t>bit.ly / referral</t>
  </si>
  <si>
    <t>-</t>
  </si>
  <si>
    <t>/virtual-showroom/</t>
  </si>
  <si>
    <t>/virtual-showroom/urbancruiserhyryder.html</t>
  </si>
  <si>
    <t>/virtual-showroom/glanza.html</t>
  </si>
  <si>
    <t>/virtual-showroom/urbancruisertaisor.html</t>
  </si>
  <si>
    <t>/virtual-showroom/hilux.html</t>
  </si>
  <si>
    <t>/virtual-showroom/innova.html</t>
  </si>
  <si>
    <t>/virtual-showroom/fortuner.html</t>
  </si>
  <si>
    <t>/virtual-showroom/vellfire.html</t>
  </si>
  <si>
    <t>/virtual-showroom/legender.html</t>
  </si>
  <si>
    <t>/virtual-showroom/lc300.html</t>
  </si>
  <si>
    <t>/virtual-showroom/camry.html</t>
  </si>
  <si>
    <t>/virtual-showroom/innovacrysta.html</t>
  </si>
  <si>
    <t>/virtual-showroom/rumion.html</t>
  </si>
  <si>
    <t>/virtual-showroom/Innova.html</t>
  </si>
  <si>
    <t>/virtual-showroom//innova.html</t>
  </si>
  <si>
    <t>Shoppers/Shopping Enthusiasts</t>
  </si>
  <si>
    <t>(other)</t>
  </si>
  <si>
    <t>Jul-2025</t>
  </si>
  <si>
    <t>YaBrowser</t>
  </si>
  <si>
    <t>Jul 2025</t>
  </si>
  <si>
    <t xml:space="preserve">Total
(model-wise)
</t>
  </si>
  <si>
    <t>160.32509968953289</t>
  </si>
  <si>
    <t>07</t>
  </si>
  <si>
    <t>06</t>
  </si>
  <si>
    <t>01</t>
  </si>
  <si>
    <t>05</t>
  </si>
  <si>
    <t>192.99797452930019</t>
  </si>
  <si>
    <t>03</t>
  </si>
  <si>
    <t>02</t>
  </si>
  <si>
    <t>04</t>
  </si>
  <si>
    <t>08</t>
  </si>
  <si>
    <t>138.74365894955909</t>
  </si>
  <si>
    <t>146.44372248043729</t>
  </si>
  <si>
    <t>5.2740250689655177</t>
  </si>
  <si>
    <t>Visits (Sessions)</t>
  </si>
  <si>
    <t>Average Time on Site</t>
  </si>
  <si>
    <t>Unique Users</t>
  </si>
  <si>
    <t>page/visti</t>
  </si>
  <si>
    <t>News &amp; Politics/Avid News Readers/Avid Political News Readers</t>
  </si>
  <si>
    <t>/campaign/urbancruiser-hyryder</t>
  </si>
  <si>
    <t>/showroom/camry</t>
  </si>
  <si>
    <t>/campaign/lc300/index.html</t>
  </si>
  <si>
    <t>tripadvisor.com.my / referral</t>
  </si>
  <si>
    <t>Aug-2025</t>
  </si>
  <si>
    <t>nanditoyota.com / referral</t>
  </si>
  <si>
    <t>Fuchsia</t>
  </si>
  <si>
    <t>Aug 2025</t>
  </si>
  <si>
    <t>3411</t>
  </si>
  <si>
    <t>6050</t>
  </si>
  <si>
    <t xml:space="preserve"> J D Toyota</t>
  </si>
  <si>
    <t>Kairali Toyota</t>
  </si>
  <si>
    <t>/pricelist</t>
  </si>
  <si>
    <t>/campaign/vellfire/index.html</t>
  </si>
  <si>
    <t>/showroom/urbancruiser-taisor</t>
  </si>
  <si>
    <t>pinterest</t>
  </si>
  <si>
    <t>snapchat.com / referral</t>
  </si>
  <si>
    <t>Sep-2025</t>
  </si>
  <si>
    <t>qr-codes.io / referral</t>
  </si>
  <si>
    <t>harshatoyota.com / referral</t>
  </si>
  <si>
    <t>/campaign/urbancruiser-hyryder/</t>
  </si>
  <si>
    <t>00:01:12</t>
  </si>
  <si>
    <t>5m 15s</t>
  </si>
  <si>
    <t>2m 27s</t>
  </si>
  <si>
    <t>2m 39s</t>
  </si>
  <si>
    <t>2m 53s</t>
  </si>
  <si>
    <t>Internet Explorer</t>
  </si>
  <si>
    <t>Windows Phone</t>
  </si>
  <si>
    <t>qwant.com / organic</t>
  </si>
  <si>
    <t>Sep 2025</t>
  </si>
  <si>
    <t>Budha Toyota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</si>
  <si>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</si>
  <si>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</si>
  <si>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</si>
  <si>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</si>
  <si>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</si>
  <si>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</si>
  <si>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</si>
  <si>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</si>
  <si>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</si>
  <si>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</si>
  <si>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</si>
  <si>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</si>
  <si>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</si>
  <si>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</si>
  <si>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</si>
  <si>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</si>
  <si>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</si>
  <si>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</si>
  <si>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</si>
  <si>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</si>
  <si>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</si>
  <si>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</si>
  <si>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</si>
  <si>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</si>
  <si>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</si>
  <si>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</si>
  <si>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</si>
  <si>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</si>
  <si>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</si>
  <si>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</si>
  <si>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</si>
  <si>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/campaign/hilux</t>
  </si>
  <si>
    <t>tripadvisor.com / referral</t>
  </si>
  <si>
    <t>yourcarwala.blogspot.com / referral</t>
  </si>
  <si>
    <t>Oct-2025</t>
  </si>
  <si>
    <t>bharattoyota.com / referral</t>
  </si>
  <si>
    <t>jobsaddafreshers.com / referral</t>
  </si>
  <si>
    <t>drum-tao.com / referral</t>
  </si>
  <si>
    <t>/Showroom/fortuner/index-legender.html</t>
  </si>
  <si>
    <t>/showroom/Innova/</t>
  </si>
  <si>
    <t>/showroom/Rumion/</t>
  </si>
  <si>
    <t>/showroom/UrbanCruiser-hyryder/</t>
  </si>
  <si>
    <t>68.60%</t>
  </si>
  <si>
    <t>36.04%</t>
  </si>
  <si>
    <t>14.71%</t>
  </si>
  <si>
    <t>41.69%</t>
  </si>
  <si>
    <t>18.30%</t>
  </si>
  <si>
    <t>21.86%</t>
  </si>
  <si>
    <t>15.68%</t>
  </si>
  <si>
    <t>21.62%</t>
  </si>
  <si>
    <t>14.36%</t>
  </si>
  <si>
    <t>50.61%</t>
  </si>
  <si>
    <t>13.97%</t>
  </si>
  <si>
    <t>63.26%</t>
  </si>
  <si>
    <t>00:01:15</t>
  </si>
  <si>
    <t>00:00:29</t>
  </si>
  <si>
    <t>00:00:18</t>
  </si>
  <si>
    <t>00:00:57</t>
  </si>
  <si>
    <t>00:00:07</t>
  </si>
  <si>
    <t>00:00:52</t>
  </si>
  <si>
    <t>00:01:37</t>
  </si>
  <si>
    <t>00:01:28</t>
  </si>
  <si>
    <t>00:01:30</t>
  </si>
  <si>
    <t>00:02:01</t>
  </si>
  <si>
    <t>00:01:56</t>
  </si>
  <si>
    <t>00:02:46</t>
  </si>
  <si>
    <t>00:01:41</t>
  </si>
  <si>
    <t>00:02:13</t>
  </si>
  <si>
    <t>00:01:23</t>
  </si>
  <si>
    <t>00:02:18</t>
  </si>
  <si>
    <t>00:01:10</t>
  </si>
  <si>
    <t>00:01:04</t>
  </si>
  <si>
    <t>00:01:34</t>
  </si>
  <si>
    <t>00:01:01</t>
  </si>
  <si>
    <t>00:01:26</t>
  </si>
  <si>
    <t>00:01:22</t>
  </si>
  <si>
    <t>00:01:36</t>
  </si>
  <si>
    <t>00:02:53</t>
  </si>
  <si>
    <t>00:01:44</t>
  </si>
  <si>
    <t>00:02:56</t>
  </si>
  <si>
    <t>00:01:54</t>
  </si>
  <si>
    <t>00:01:46</t>
  </si>
  <si>
    <t>00:01:02</t>
  </si>
  <si>
    <t>96638</t>
  </si>
  <si>
    <t>303737</t>
  </si>
  <si>
    <t>63879</t>
  </si>
  <si>
    <t>30100</t>
  </si>
  <si>
    <t>29280</t>
  </si>
  <si>
    <t>20190</t>
  </si>
  <si>
    <t>16616</t>
  </si>
  <si>
    <t>16315</t>
  </si>
  <si>
    <t>14444</t>
  </si>
  <si>
    <t>10854</t>
  </si>
  <si>
    <t>12249</t>
  </si>
  <si>
    <t>3600</t>
  </si>
  <si>
    <t>4706</t>
  </si>
  <si>
    <t>19291</t>
  </si>
  <si>
    <t>4224</t>
  </si>
  <si>
    <t>8590</t>
  </si>
  <si>
    <t>2809</t>
  </si>
  <si>
    <t>8161</t>
  </si>
  <si>
    <t>4m 12s</t>
  </si>
  <si>
    <t>4m 56s</t>
  </si>
  <si>
    <t>3m 39s</t>
  </si>
  <si>
    <t>5m 02s</t>
  </si>
  <si>
    <t>2m 57s</t>
  </si>
  <si>
    <t>3m 07s</t>
  </si>
  <si>
    <t>5m 05s</t>
  </si>
  <si>
    <t>4m 52s</t>
  </si>
  <si>
    <t>2m 47s</t>
  </si>
  <si>
    <t>3m 24s</t>
  </si>
  <si>
    <t>5m 16s</t>
  </si>
  <si>
    <t>6m 36s</t>
  </si>
  <si>
    <t>4m 16s</t>
  </si>
  <si>
    <t>3m 58s</t>
  </si>
  <si>
    <t>2m 41s</t>
  </si>
  <si>
    <t>5m 07s</t>
  </si>
  <si>
    <t>3m 00s</t>
  </si>
  <si>
    <t>2m 15s</t>
  </si>
  <si>
    <t>4m 04s</t>
  </si>
  <si>
    <t>3m 05s</t>
  </si>
  <si>
    <t>2m 28s</t>
  </si>
  <si>
    <t>4m 38s</t>
  </si>
  <si>
    <t>6m 28s</t>
  </si>
  <si>
    <t>3m 46s</t>
  </si>
  <si>
    <t>Puffin</t>
  </si>
  <si>
    <t>OS/2</t>
  </si>
  <si>
    <t>FreeBSD</t>
  </si>
  <si>
    <t>Playstation 4</t>
  </si>
  <si>
    <t>nobroker / cpm</t>
  </si>
  <si>
    <t>twitter / form</t>
  </si>
  <si>
    <t>dailyhunt / cpm</t>
  </si>
  <si>
    <t>dv360 / form</t>
  </si>
  <si>
    <t>mediakart / form</t>
  </si>
  <si>
    <t>tutler / form</t>
  </si>
  <si>
    <t>Oct 2025</t>
  </si>
  <si>
    <t>totalvisits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</si>
</sst>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,##0;[Red]#,##0"/>
    <numFmt numFmtId="165" formatCode="[$-409]mmm\-yy;@"/>
    <numFmt numFmtId="166" formatCode="[$-F800]dddd\,\ mmmm\ dd\,\ yyyy"/>
    <numFmt numFmtId="167" formatCode="[&gt;=10000000]##\,##\,##\,##0;[&gt;=100000]\ ##\,##\,##0;##,##0"/>
    <numFmt numFmtId="168" formatCode="#,##0.00;[Red]#,##0.00"/>
    <numFmt numFmtId="169" formatCode="_ * #,##0_ ;_ * \-#,##0_ ;_ * &quot;-&quot;??_ ;_ @_ "/>
  </numFmts>
  <fonts count="17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rgb="FF000000"/>
      <name val="Garamond"/>
      <family val="1"/>
    </font>
    <font>
      <sz val="11"/>
      <color rgb="FF222222"/>
      <name val="Arial"/>
      <family val="2"/>
    </font>
    <font>
      <sz val="18"/>
      <color rgb="FF222222"/>
      <name val="Arial"/>
      <family val="2"/>
    </font>
    <font>
      <b/>
      <u/>
      <sz val="16"/>
      <color rgb="FF000000"/>
      <name val="Trebuchet MS"/>
      <family val="2"/>
    </font>
    <font>
      <sz val="12"/>
      <name val="Calibri"/>
      <family val="1"/>
      <scheme val="minor"/>
    </font>
    <font>
      <sz val="14"/>
      <color rgb="FF222222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2"/>
      <color rgb="FF404040"/>
      <name val="Roboto Medium"/>
    </font>
    <font>
      <sz val="11"/>
      <color rgb="FF202124"/>
      <name val="Arial"/>
      <family val="2"/>
    </font>
    <font>
      <sz val="16"/>
      <color rgb="FF000000"/>
      <name val="Toyota type"/>
    </font>
    <font>
      <sz val="16"/>
      <color rgb="FF404040"/>
      <name val="Toyota Type Light"/>
    </font>
    <font>
      <sz val="16"/>
      <color rgb="FF000000"/>
      <name val="Toyota Type Light"/>
    </font>
    <font>
      <sz val="12"/>
      <color rgb="FF000000"/>
      <name val="Toyota Type Light"/>
    </font>
    <font>
      <b/>
      <sz val="12"/>
      <color rgb="FF000000"/>
      <name val="Toyota Type Light"/>
    </font>
    <font>
      <sz val="11"/>
      <color rgb="FF202124"/>
      <name val="Arial"/>
      <family val="2"/>
    </font>
    <font>
      <sz val="12"/>
      <name val="Cambria"/>
      <family val="1"/>
      <scheme val="major"/>
    </font>
    <font>
      <sz val="11"/>
      <name val="Arial"/>
      <family val="2"/>
    </font>
    <font>
      <sz val="11"/>
      <color rgb="FF202124"/>
      <name val="Arial"/>
      <family val="2"/>
    </font>
    <font>
      <sz val="11"/>
      <color rgb="FF202124"/>
      <name val="Arial"/>
      <family val="2"/>
    </font>
    <font>
      <sz val="18"/>
      <name val="Arial"/>
      <family val="2"/>
    </font>
    <font>
      <b/>
      <i/>
      <sz val="8"/>
      <name val="Arial"/>
      <family val="2"/>
    </font>
    <font>
      <i/>
      <sz val="8"/>
      <color rgb="FF000000"/>
      <name val="Arial"/>
      <family val="2"/>
    </font>
    <font>
      <sz val="14"/>
      <color rgb="FF000000"/>
      <name val="Toyota Type Light"/>
    </font>
    <font>
      <sz val="11"/>
      <color rgb="FF202124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Toyota type light"/>
    </font>
    <font>
      <sz val="10"/>
      <color rgb="FF000000"/>
      <name val="Toyota type light"/>
    </font>
    <font>
      <sz val="10"/>
      <color rgb="FF202124"/>
      <name val="Toyota type light"/>
    </font>
    <font>
      <sz val="10"/>
      <color theme="1"/>
      <name val="Roboto"/>
    </font>
    <font>
      <sz val="11"/>
      <color rgb="FF202124"/>
      <name val="Arial"/>
      <family val="2"/>
    </font>
    <font>
      <sz val="11"/>
      <color rgb="FF202124"/>
      <name val="Roboto"/>
    </font>
    <font>
      <sz val="11"/>
      <color rgb="FF202124"/>
      <name val="Arial"/>
      <family val="2"/>
    </font>
    <font>
      <sz val="11"/>
      <color rgb="FF202124"/>
      <name val="Arial"/>
      <family val="2"/>
    </font>
    <font>
      <sz val="11"/>
      <color rgb="FF202124"/>
      <name val="Arial"/>
      <family val="2"/>
    </font>
    <font>
      <sz val="9"/>
      <color rgb="FF231918"/>
      <name val="Courier New"/>
      <family val="3"/>
    </font>
    <font>
      <sz val="11"/>
      <color rgb="FF202124"/>
      <name val="Arial"/>
      <family val="2"/>
    </font>
    <font>
      <b/>
      <sz val="16"/>
      <color rgb="FF262626"/>
      <name val="Toyota Type Light"/>
    </font>
    <font>
      <sz val="14"/>
      <color rgb="FF202124"/>
      <name val="Toyota Type Light"/>
    </font>
    <font>
      <b/>
      <sz val="16"/>
      <color rgb="FF000000"/>
      <name val="Toyota Type Light"/>
    </font>
    <font>
      <sz val="10"/>
      <color rgb="FF404040"/>
      <name val="Toyota Type Light"/>
    </font>
    <font>
      <sz val="10"/>
      <name val="Toyota Type Light"/>
    </font>
    <font>
      <b/>
      <sz val="10"/>
      <name val="Toyota Type Light"/>
    </font>
    <font>
      <u/>
      <sz val="10"/>
      <name val="Toyota Type Light"/>
    </font>
    <font>
      <sz val="14"/>
      <name val="Arial"/>
      <family val="2"/>
    </font>
    <font>
      <sz val="11"/>
      <color rgb="FF202124"/>
      <name val="Arial"/>
      <family val="2"/>
    </font>
    <font>
      <sz val="11"/>
      <color rgb="FF202124"/>
      <name val="Arial"/>
      <family val="2"/>
    </font>
    <font>
      <sz val="14"/>
      <color rgb="FF262626"/>
      <name val="Toyota Type Light"/>
    </font>
    <font>
      <sz val="14"/>
      <name val="Toyota Type Light"/>
    </font>
    <font>
      <b/>
      <i/>
      <sz val="10"/>
      <name val="Arial"/>
      <family val="2"/>
    </font>
    <font>
      <sz val="14"/>
      <color rgb="FF0070C0"/>
      <name val="Toyota Type Light"/>
    </font>
    <font>
      <b/>
      <sz val="14"/>
      <name val="Toyota Type Light"/>
    </font>
    <font>
      <b/>
      <i/>
      <sz val="14"/>
      <name val="Toyota Type Light"/>
    </font>
    <font>
      <b/>
      <sz val="12"/>
      <color rgb="FFFFFFFF"/>
      <name val="Toyota Type Light"/>
    </font>
    <font>
      <sz val="10.5"/>
      <color rgb="FF000000"/>
      <name val="Toyota Type Light"/>
    </font>
    <font>
      <sz val="18"/>
      <color rgb="FF000000"/>
      <name val="Calibri"/>
      <family val="2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6"/>
      <color rgb="FF000000"/>
      <name val="Trebuchet MS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name val="Toyota Type Light"/>
    </font>
    <font>
      <b/>
      <sz val="14"/>
      <color rgb="FF262626"/>
      <name val="Toyota Type Light"/>
    </font>
    <font>
      <sz val="16"/>
      <name val="Toyota Type Light"/>
    </font>
    <font>
      <sz val="12"/>
      <color rgb="FF202124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4"/>
      <name val="Toyota Type Light"/>
    </font>
    <font>
      <b/>
      <sz val="14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4"/>
      <name val="Toyota Type Light"/>
      <family val="2"/>
    </font>
    <font>
      <b/>
      <sz val="14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4"/>
      <name val="Toyota Type Light"/>
      <family val="2"/>
    </font>
    <font>
      <b/>
      <sz val="14"/>
      <name val="Toyota Type Light"/>
    </font>
    <font>
      <sz val="12"/>
      <name val="Toyota Type Light"/>
      <family val="2"/>
    </font>
    <font>
      <sz val="12"/>
      <name val="Toyota Type Light"/>
      <family val="2"/>
    </font>
    <font>
      <sz val="12"/>
      <name val="Toyota Type Light"/>
    </font>
    <font>
      <sz val="12"/>
      <name val="Toyota Type Light"/>
      <family val="2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</fonts>
  <fills count="1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DEDE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medium">
        <color rgb="FFFFFFFF"/>
      </right>
      <top style="thick">
        <color theme="0"/>
      </top>
      <bottom style="thick">
        <color theme="0"/>
      </bottom>
      <diagonal/>
    </border>
    <border>
      <left style="medium">
        <color rgb="FFFFFFFF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1" fillId="0" borderId="0"/>
    <xf numFmtId="9" fontId="13" fillId="0" borderId="0" applyFont="0" applyFill="0" applyBorder="0" applyAlignment="0" applyProtection="0"/>
    <xf numFmtId="0" fontId="2" fillId="0" borderId="0"/>
    <xf numFmtId="43" fontId="33" fillId="0" borderId="0" applyFont="0" applyFill="0" applyBorder="0" applyAlignment="0" applyProtection="0"/>
    <xf numFmtId="0" fontId="1" fillId="25" borderId="0"/>
    <xf numFmtId="43" fontId="1" fillId="25" borderId="0" applyFont="0" applyFill="0" applyBorder="0" applyAlignment="0" applyProtection="0"/>
  </cellStyleXfs>
  <cellXfs count="585">
    <xf numFmtId="0" fontId="0" fillId="0" borderId="0" xfId="0"/>
    <xf numFmtId="3" fontId="0" fillId="0" borderId="0" xfId="0" applyNumberFormat="1"/>
    <xf numFmtId="2" fontId="0" fillId="0" borderId="0" xfId="0" applyNumberFormat="1"/>
    <xf numFmtId="3" fontId="0" fillId="0" borderId="0" xfId="0" applyNumberFormat="1" applyAlignment="1">
      <alignment horizontal="left"/>
    </xf>
    <xf numFmtId="10" fontId="0" fillId="0" borderId="0" xfId="0" applyNumberFormat="1"/>
    <xf numFmtId="16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2" fontId="0" fillId="0" borderId="1" xfId="0" applyNumberFormat="1" applyBorder="1"/>
    <xf numFmtId="0" fontId="5" fillId="0" borderId="0" xfId="0" applyFont="1"/>
    <xf numFmtId="0" fontId="6" fillId="0" borderId="0" xfId="0" applyFont="1" applyAlignment="1">
      <alignment horizontal="right"/>
    </xf>
    <xf numFmtId="0" fontId="10" fillId="0" borderId="0" xfId="0" applyFont="1"/>
    <xf numFmtId="0" fontId="0" fillId="0" borderId="5" xfId="0" applyBorder="1"/>
    <xf numFmtId="3" fontId="12" fillId="0" borderId="0" xfId="0" applyNumberFormat="1" applyFont="1"/>
    <xf numFmtId="166" fontId="0" fillId="0" borderId="0" xfId="0" applyNumberFormat="1"/>
    <xf numFmtId="3" fontId="5" fillId="0" borderId="0" xfId="0" applyNumberFormat="1" applyFont="1"/>
    <xf numFmtId="0" fontId="0" fillId="0" borderId="0" xfId="0" applyAlignment="1">
      <alignment horizontal="center"/>
    </xf>
    <xf numFmtId="0" fontId="16" fillId="0" borderId="0" xfId="0" applyFont="1"/>
    <xf numFmtId="3" fontId="17" fillId="0" borderId="0" xfId="0" applyNumberFormat="1" applyFont="1"/>
    <xf numFmtId="17" fontId="18" fillId="3" borderId="1" xfId="0" applyNumberFormat="1" applyFont="1" applyFill="1" applyBorder="1" applyAlignment="1">
      <alignment horizontal="center" vertical="center" wrapText="1" readingOrder="1"/>
    </xf>
    <xf numFmtId="3" fontId="25" fillId="0" borderId="0" xfId="0" applyNumberFormat="1" applyFont="1"/>
    <xf numFmtId="3" fontId="26" fillId="0" borderId="0" xfId="0" applyNumberFormat="1" applyFont="1"/>
    <xf numFmtId="167" fontId="0" fillId="0" borderId="15" xfId="0" applyNumberFormat="1" applyBorder="1"/>
    <xf numFmtId="3" fontId="19" fillId="0" borderId="13" xfId="0" applyNumberFormat="1" applyFont="1" applyBorder="1"/>
    <xf numFmtId="3" fontId="19" fillId="0" borderId="14" xfId="0" applyNumberFormat="1" applyFont="1" applyBorder="1"/>
    <xf numFmtId="167" fontId="0" fillId="0" borderId="16" xfId="0" applyNumberFormat="1" applyBorder="1"/>
    <xf numFmtId="167" fontId="0" fillId="0" borderId="11" xfId="0" applyNumberFormat="1" applyBorder="1"/>
    <xf numFmtId="0" fontId="0" fillId="0" borderId="16" xfId="0" applyBorder="1"/>
    <xf numFmtId="0" fontId="0" fillId="0" borderId="11" xfId="0" applyBorder="1"/>
    <xf numFmtId="166" fontId="0" fillId="0" borderId="17" xfId="0" applyNumberFormat="1" applyBorder="1"/>
    <xf numFmtId="166" fontId="0" fillId="0" borderId="18" xfId="0" applyNumberFormat="1" applyBorder="1"/>
    <xf numFmtId="0" fontId="0" fillId="0" borderId="16" xfId="0" applyBorder="1" applyAlignment="1">
      <alignment horizontal="left"/>
    </xf>
    <xf numFmtId="14" fontId="0" fillId="0" borderId="16" xfId="0" applyNumberFormat="1" applyBorder="1"/>
    <xf numFmtId="0" fontId="11" fillId="0" borderId="24" xfId="1" applyBorder="1"/>
    <xf numFmtId="0" fontId="0" fillId="0" borderId="10" xfId="0" applyBorder="1"/>
    <xf numFmtId="0" fontId="0" fillId="0" borderId="25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0" xfId="0" applyAlignment="1">
      <alignment horizontal="right"/>
    </xf>
    <xf numFmtId="0" fontId="28" fillId="0" borderId="0" xfId="0" applyFont="1" applyAlignment="1">
      <alignment vertical="top" wrapText="1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169" fontId="0" fillId="0" borderId="0" xfId="4" applyNumberFormat="1" applyFont="1"/>
    <xf numFmtId="169" fontId="0" fillId="0" borderId="0" xfId="4" applyNumberFormat="1" applyFont="1" applyAlignment="1">
      <alignment vertical="center"/>
    </xf>
    <xf numFmtId="0" fontId="35" fillId="0" borderId="0" xfId="0" applyFont="1"/>
    <xf numFmtId="0" fontId="36" fillId="0" borderId="0" xfId="0" applyFont="1" applyAlignment="1">
      <alignment horizontal="center" vertical="center"/>
    </xf>
    <xf numFmtId="10" fontId="37" fillId="0" borderId="0" xfId="0" applyNumberFormat="1" applyFont="1" applyAlignment="1">
      <alignment horizontal="center" vertical="center"/>
    </xf>
    <xf numFmtId="21" fontId="35" fillId="0" borderId="0" xfId="0" applyNumberFormat="1" applyFont="1" applyAlignment="1">
      <alignment horizontal="center" vertical="center"/>
    </xf>
    <xf numFmtId="3" fontId="37" fillId="0" borderId="0" xfId="0" applyNumberFormat="1" applyFont="1" applyAlignment="1">
      <alignment horizontal="center" vertical="center"/>
    </xf>
    <xf numFmtId="169" fontId="35" fillId="0" borderId="0" xfId="4" applyNumberFormat="1" applyFont="1" applyAlignment="1">
      <alignment horizontal="center" vertical="center"/>
    </xf>
    <xf numFmtId="169" fontId="35" fillId="0" borderId="0" xfId="4" applyNumberFormat="1" applyFont="1" applyAlignment="1">
      <alignment vertical="center"/>
    </xf>
    <xf numFmtId="0" fontId="35" fillId="0" borderId="0" xfId="0" applyFont="1" applyAlignment="1">
      <alignment horizontal="center" vertical="center"/>
    </xf>
    <xf numFmtId="10" fontId="35" fillId="0" borderId="0" xfId="0" applyNumberFormat="1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0" fontId="35" fillId="9" borderId="0" xfId="0" applyFont="1" applyFill="1"/>
    <xf numFmtId="0" fontId="35" fillId="0" borderId="32" xfId="0" applyFont="1" applyBorder="1"/>
    <xf numFmtId="0" fontId="35" fillId="9" borderId="32" xfId="0" applyFont="1" applyFill="1" applyBorder="1"/>
    <xf numFmtId="0" fontId="35" fillId="10" borderId="32" xfId="0" applyFont="1" applyFill="1" applyBorder="1"/>
    <xf numFmtId="0" fontId="35" fillId="9" borderId="32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169" fontId="35" fillId="9" borderId="32" xfId="4" applyNumberFormat="1" applyFont="1" applyFill="1" applyBorder="1" applyAlignment="1">
      <alignment horizontal="center" vertical="center"/>
    </xf>
    <xf numFmtId="169" fontId="35" fillId="9" borderId="33" xfId="4" applyNumberFormat="1" applyFont="1" applyFill="1" applyBorder="1" applyAlignment="1">
      <alignment vertical="center"/>
    </xf>
    <xf numFmtId="2" fontId="35" fillId="0" borderId="0" xfId="0" applyNumberFormat="1" applyFont="1"/>
    <xf numFmtId="0" fontId="3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32" xfId="0" applyFill="1" applyBorder="1"/>
    <xf numFmtId="0" fontId="38" fillId="10" borderId="32" xfId="0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5" fillId="9" borderId="0" xfId="0" applyFont="1" applyFill="1" applyAlignment="1">
      <alignment horizontal="left" vertical="center"/>
    </xf>
    <xf numFmtId="0" fontId="35" fillId="0" borderId="32" xfId="0" applyFont="1" applyBorder="1" applyAlignment="1">
      <alignment horizontal="left" vertical="center"/>
    </xf>
    <xf numFmtId="0" fontId="35" fillId="9" borderId="32" xfId="0" applyFont="1" applyFill="1" applyBorder="1" applyAlignment="1">
      <alignment horizontal="left" vertical="center"/>
    </xf>
    <xf numFmtId="0" fontId="35" fillId="10" borderId="32" xfId="0" applyFont="1" applyFill="1" applyBorder="1" applyAlignment="1">
      <alignment horizontal="left" vertical="center"/>
    </xf>
    <xf numFmtId="2" fontId="35" fillId="0" borderId="0" xfId="0" applyNumberFormat="1" applyFont="1" applyAlignment="1">
      <alignment horizontal="center" vertical="center"/>
    </xf>
    <xf numFmtId="2" fontId="0" fillId="0" borderId="0" xfId="4" applyNumberFormat="1" applyFont="1"/>
    <xf numFmtId="3" fontId="39" fillId="0" borderId="0" xfId="0" applyNumberFormat="1" applyFont="1"/>
    <xf numFmtId="3" fontId="41" fillId="0" borderId="0" xfId="0" applyNumberFormat="1" applyFont="1"/>
    <xf numFmtId="3" fontId="22" fillId="0" borderId="0" xfId="0" applyNumberFormat="1" applyFont="1"/>
    <xf numFmtId="3" fontId="42" fillId="0" borderId="0" xfId="0" applyNumberFormat="1" applyFont="1"/>
    <xf numFmtId="0" fontId="42" fillId="0" borderId="0" xfId="0" applyFont="1"/>
    <xf numFmtId="0" fontId="0" fillId="0" borderId="1" xfId="0" applyBorder="1" applyAlignment="1">
      <alignment horizontal="center"/>
    </xf>
    <xf numFmtId="0" fontId="29" fillId="4" borderId="1" xfId="0" applyFont="1" applyFill="1" applyBorder="1" applyAlignment="1">
      <alignment horizontal="center" wrapText="1"/>
    </xf>
    <xf numFmtId="0" fontId="30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0" fillId="0" borderId="0" xfId="0" applyFont="1"/>
    <xf numFmtId="3" fontId="45" fillId="0" borderId="0" xfId="0" applyNumberFormat="1" applyFont="1"/>
    <xf numFmtId="2" fontId="40" fillId="0" borderId="0" xfId="0" applyNumberFormat="1" applyFont="1"/>
    <xf numFmtId="3" fontId="45" fillId="0" borderId="0" xfId="0" applyNumberFormat="1" applyFont="1" applyAlignment="1">
      <alignment vertical="center"/>
    </xf>
    <xf numFmtId="0" fontId="46" fillId="3" borderId="3" xfId="0" applyFont="1" applyFill="1" applyBorder="1" applyAlignment="1">
      <alignment horizontal="center" vertical="center" wrapText="1" readingOrder="1"/>
    </xf>
    <xf numFmtId="0" fontId="46" fillId="3" borderId="12" xfId="0" applyFont="1" applyFill="1" applyBorder="1" applyAlignment="1">
      <alignment horizontal="center" vertical="center" wrapText="1" readingOrder="1"/>
    </xf>
    <xf numFmtId="0" fontId="20" fillId="3" borderId="12" xfId="0" applyFont="1" applyFill="1" applyBorder="1" applyAlignment="1">
      <alignment horizontal="center" vertical="center" wrapText="1" readingOrder="1"/>
    </xf>
    <xf numFmtId="0" fontId="20" fillId="0" borderId="12" xfId="0" applyFont="1" applyBorder="1" applyAlignment="1">
      <alignment horizontal="center" vertical="center" wrapText="1" readingOrder="1"/>
    </xf>
    <xf numFmtId="0" fontId="48" fillId="0" borderId="3" xfId="0" applyFont="1" applyBorder="1" applyAlignment="1">
      <alignment horizontal="center" vertical="center" wrapText="1" readingOrder="1"/>
    </xf>
    <xf numFmtId="10" fontId="31" fillId="0" borderId="3" xfId="0" applyNumberFormat="1" applyFont="1" applyBorder="1" applyAlignment="1">
      <alignment horizontal="center" vertical="center" wrapText="1" readingOrder="1"/>
    </xf>
    <xf numFmtId="10" fontId="47" fillId="0" borderId="3" xfId="0" applyNumberFormat="1" applyFont="1" applyBorder="1" applyAlignment="1">
      <alignment horizontal="center" vertical="center" wrapText="1" readingOrder="1"/>
    </xf>
    <xf numFmtId="167" fontId="14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5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3" fontId="27" fillId="0" borderId="0" xfId="0" applyNumberFormat="1" applyFont="1" applyAlignment="1">
      <alignment horizontal="right"/>
    </xf>
    <xf numFmtId="3" fontId="23" fillId="0" borderId="0" xfId="0" applyNumberFormat="1" applyFont="1" applyAlignment="1">
      <alignment horizontal="right"/>
    </xf>
    <xf numFmtId="3" fontId="32" fillId="0" borderId="0" xfId="0" applyNumberFormat="1" applyFont="1"/>
    <xf numFmtId="3" fontId="43" fillId="0" borderId="0" xfId="0" applyNumberFormat="1" applyFont="1"/>
    <xf numFmtId="16" fontId="5" fillId="0" borderId="0" xfId="0" applyNumberFormat="1" applyFont="1" applyAlignment="1">
      <alignment vertical="center"/>
    </xf>
    <xf numFmtId="16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16" fontId="0" fillId="4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16" fontId="0" fillId="0" borderId="1" xfId="0" applyNumberFormat="1" applyBorder="1"/>
    <xf numFmtId="3" fontId="0" fillId="0" borderId="1" xfId="0" applyNumberFormat="1" applyBorder="1" applyAlignment="1">
      <alignment horizontal="right"/>
    </xf>
    <xf numFmtId="3" fontId="41" fillId="0" borderId="1" xfId="0" applyNumberFormat="1" applyFont="1" applyBorder="1"/>
    <xf numFmtId="3" fontId="42" fillId="0" borderId="1" xfId="0" applyNumberFormat="1" applyFont="1" applyBorder="1"/>
    <xf numFmtId="3" fontId="43" fillId="0" borderId="1" xfId="0" applyNumberFormat="1" applyFont="1" applyBorder="1"/>
    <xf numFmtId="3" fontId="0" fillId="0" borderId="1" xfId="0" applyNumberFormat="1" applyBorder="1" applyAlignment="1">
      <alignment horizontal="center" vertical="center"/>
    </xf>
    <xf numFmtId="3" fontId="41" fillId="0" borderId="1" xfId="0" applyNumberFormat="1" applyFont="1" applyBorder="1" applyAlignment="1">
      <alignment horizontal="center" vertical="center"/>
    </xf>
    <xf numFmtId="3" fontId="42" fillId="0" borderId="1" xfId="0" applyNumberFormat="1" applyFont="1" applyBorder="1" applyAlignment="1">
      <alignment horizontal="center" vertical="center"/>
    </xf>
    <xf numFmtId="3" fontId="4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50" fillId="0" borderId="0" xfId="0" applyFont="1"/>
    <xf numFmtId="0" fontId="50" fillId="4" borderId="1" xfId="0" applyFont="1" applyFill="1" applyBorder="1" applyAlignment="1">
      <alignment horizontal="center" vertical="center"/>
    </xf>
    <xf numFmtId="2" fontId="50" fillId="0" borderId="0" xfId="0" applyNumberFormat="1" applyFont="1"/>
    <xf numFmtId="17" fontId="50" fillId="0" borderId="1" xfId="0" applyNumberFormat="1" applyFont="1" applyBorder="1"/>
    <xf numFmtId="3" fontId="50" fillId="0" borderId="1" xfId="0" applyNumberFormat="1" applyFont="1" applyBorder="1"/>
    <xf numFmtId="0" fontId="50" fillId="0" borderId="1" xfId="0" applyFont="1" applyBorder="1"/>
    <xf numFmtId="0" fontId="50" fillId="0" borderId="1" xfId="0" applyFont="1" applyBorder="1" applyAlignment="1">
      <alignment horizontal="center" vertical="center"/>
    </xf>
    <xf numFmtId="2" fontId="50" fillId="0" borderId="1" xfId="0" applyNumberFormat="1" applyFont="1" applyBorder="1" applyAlignment="1">
      <alignment horizontal="center" vertical="center"/>
    </xf>
    <xf numFmtId="2" fontId="50" fillId="0" borderId="1" xfId="0" applyNumberFormat="1" applyFont="1" applyBorder="1"/>
    <xf numFmtId="167" fontId="50" fillId="0" borderId="1" xfId="0" applyNumberFormat="1" applyFont="1" applyBorder="1"/>
    <xf numFmtId="165" fontId="50" fillId="0" borderId="0" xfId="0" applyNumberFormat="1" applyFont="1"/>
    <xf numFmtId="167" fontId="50" fillId="0" borderId="0" xfId="0" applyNumberFormat="1" applyFont="1"/>
    <xf numFmtId="17" fontId="50" fillId="0" borderId="0" xfId="0" applyNumberFormat="1" applyFont="1"/>
    <xf numFmtId="3" fontId="50" fillId="0" borderId="0" xfId="0" applyNumberFormat="1" applyFont="1"/>
    <xf numFmtId="0" fontId="50" fillId="0" borderId="0" xfId="0" applyFont="1" applyAlignment="1">
      <alignment horizontal="left" vertical="center" readingOrder="1"/>
    </xf>
    <xf numFmtId="0" fontId="50" fillId="0" borderId="0" xfId="0" applyFont="1" applyAlignment="1">
      <alignment vertical="center"/>
    </xf>
    <xf numFmtId="0" fontId="50" fillId="0" borderId="1" xfId="0" applyFont="1" applyBorder="1" applyAlignment="1">
      <alignment horizontal="left" vertical="center"/>
    </xf>
    <xf numFmtId="0" fontId="49" fillId="0" borderId="1" xfId="0" applyFont="1" applyBorder="1" applyAlignment="1">
      <alignment horizontal="left" vertical="center" readingOrder="1"/>
    </xf>
    <xf numFmtId="0" fontId="50" fillId="0" borderId="6" xfId="0" applyFont="1" applyBorder="1" applyAlignment="1">
      <alignment horizontal="left" vertical="center" readingOrder="1"/>
    </xf>
    <xf numFmtId="0" fontId="50" fillId="0" borderId="34" xfId="0" applyFont="1" applyBorder="1" applyAlignment="1">
      <alignment horizontal="left" vertical="center"/>
    </xf>
    <xf numFmtId="0" fontId="50" fillId="0" borderId="34" xfId="0" applyFont="1" applyBorder="1" applyAlignment="1">
      <alignment horizontal="left" vertical="center" readingOrder="1"/>
    </xf>
    <xf numFmtId="0" fontId="50" fillId="0" borderId="6" xfId="0" applyFont="1" applyBorder="1" applyAlignment="1">
      <alignment horizontal="left"/>
    </xf>
    <xf numFmtId="0" fontId="50" fillId="0" borderId="9" xfId="0" applyFont="1" applyBorder="1" applyAlignment="1">
      <alignment horizontal="left"/>
    </xf>
    <xf numFmtId="0" fontId="50" fillId="0" borderId="37" xfId="0" applyFont="1" applyBorder="1" applyAlignment="1">
      <alignment horizontal="left"/>
    </xf>
    <xf numFmtId="0" fontId="50" fillId="0" borderId="38" xfId="0" applyFont="1" applyBorder="1" applyAlignment="1">
      <alignment horizontal="left"/>
    </xf>
    <xf numFmtId="0" fontId="52" fillId="0" borderId="7" xfId="0" applyFont="1" applyBorder="1" applyAlignment="1">
      <alignment horizontal="left"/>
    </xf>
    <xf numFmtId="17" fontId="50" fillId="0" borderId="7" xfId="0" applyNumberFormat="1" applyFont="1" applyBorder="1" applyAlignment="1">
      <alignment horizontal="center" vertical="center"/>
    </xf>
    <xf numFmtId="17" fontId="50" fillId="0" borderId="8" xfId="0" applyNumberFormat="1" applyFont="1" applyBorder="1" applyAlignment="1">
      <alignment horizontal="center" vertical="center"/>
    </xf>
    <xf numFmtId="17" fontId="50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47" fontId="0" fillId="0" borderId="0" xfId="0" applyNumberFormat="1"/>
    <xf numFmtId="37" fontId="3" fillId="4" borderId="1" xfId="0" applyNumberFormat="1" applyFont="1" applyFill="1" applyBorder="1" applyAlignment="1">
      <alignment horizontal="center" vertical="center"/>
    </xf>
    <xf numFmtId="37" fontId="0" fillId="0" borderId="1" xfId="0" applyNumberFormat="1" applyBorder="1" applyAlignment="1">
      <alignment horizontal="center" vertical="center"/>
    </xf>
    <xf numFmtId="37" fontId="5" fillId="0" borderId="1" xfId="0" applyNumberFormat="1" applyFont="1" applyBorder="1" applyAlignment="1">
      <alignment horizontal="left" vertical="center"/>
    </xf>
    <xf numFmtId="37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44" fontId="0" fillId="0" borderId="0" xfId="0" applyNumberFormat="1"/>
    <xf numFmtId="37" fontId="0" fillId="4" borderId="1" xfId="0" applyNumberFormat="1" applyFill="1" applyBorder="1"/>
    <xf numFmtId="37" fontId="0" fillId="0" borderId="0" xfId="0" applyNumberFormat="1"/>
    <xf numFmtId="37" fontId="0" fillId="0" borderId="1" xfId="0" applyNumberFormat="1" applyBorder="1"/>
    <xf numFmtId="10" fontId="24" fillId="0" borderId="0" xfId="1" applyNumberFormat="1" applyFont="1"/>
    <xf numFmtId="168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3" fontId="20" fillId="0" borderId="0" xfId="0" applyNumberFormat="1" applyFont="1" applyAlignment="1">
      <alignment horizontal="center" wrapText="1" readingOrder="1"/>
    </xf>
    <xf numFmtId="10" fontId="31" fillId="0" borderId="0" xfId="0" applyNumberFormat="1" applyFont="1" applyAlignment="1">
      <alignment horizontal="center" wrapText="1" readingOrder="1"/>
    </xf>
    <xf numFmtId="3" fontId="55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37" fontId="5" fillId="0" borderId="1" xfId="0" applyNumberFormat="1" applyFont="1" applyBorder="1" applyAlignment="1">
      <alignment horizontal="center" vertical="center"/>
    </xf>
    <xf numFmtId="37" fontId="54" fillId="0" borderId="0" xfId="0" applyNumberFormat="1" applyFont="1"/>
    <xf numFmtId="37" fontId="23" fillId="0" borderId="0" xfId="0" applyNumberFormat="1" applyFont="1"/>
    <xf numFmtId="37" fontId="45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2" fillId="0" borderId="0" xfId="0" applyNumberFormat="1" applyFont="1"/>
    <xf numFmtId="0" fontId="56" fillId="0" borderId="1" xfId="0" applyFont="1" applyBorder="1" applyAlignment="1">
      <alignment horizontal="center" vertical="center" wrapText="1" readingOrder="1"/>
    </xf>
    <xf numFmtId="0" fontId="31" fillId="0" borderId="1" xfId="0" applyFont="1" applyBorder="1" applyAlignment="1">
      <alignment horizontal="left" wrapText="1" readingOrder="1"/>
    </xf>
    <xf numFmtId="10" fontId="31" fillId="0" borderId="1" xfId="0" applyNumberFormat="1" applyFont="1" applyBorder="1" applyAlignment="1">
      <alignment horizontal="center" wrapText="1" readingOrder="1"/>
    </xf>
    <xf numFmtId="0" fontId="53" fillId="0" borderId="0" xfId="0" applyFont="1"/>
    <xf numFmtId="0" fontId="31" fillId="0" borderId="0" xfId="0" applyFont="1" applyAlignment="1">
      <alignment horizontal="center" wrapText="1" readingOrder="1"/>
    </xf>
    <xf numFmtId="2" fontId="53" fillId="0" borderId="0" xfId="0" applyNumberFormat="1" applyFont="1"/>
    <xf numFmtId="0" fontId="53" fillId="0" borderId="1" xfId="0" applyFont="1" applyBorder="1"/>
    <xf numFmtId="3" fontId="31" fillId="0" borderId="0" xfId="0" applyNumberFormat="1" applyFont="1" applyAlignment="1">
      <alignment horizontal="center" wrapText="1" readingOrder="1"/>
    </xf>
    <xf numFmtId="0" fontId="53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 wrapText="1" readingOrder="1"/>
    </xf>
    <xf numFmtId="3" fontId="53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vertical="center"/>
    </xf>
    <xf numFmtId="37" fontId="57" fillId="0" borderId="1" xfId="0" applyNumberFormat="1" applyFont="1" applyBorder="1" applyAlignment="1">
      <alignment horizontal="center" vertical="center"/>
    </xf>
    <xf numFmtId="10" fontId="57" fillId="0" borderId="1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vertical="center"/>
    </xf>
    <xf numFmtId="37" fontId="53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2" fontId="57" fillId="0" borderId="1" xfId="0" applyNumberFormat="1" applyFont="1" applyBorder="1" applyAlignment="1">
      <alignment horizontal="center"/>
    </xf>
    <xf numFmtId="0" fontId="57" fillId="0" borderId="1" xfId="0" applyFont="1" applyBorder="1"/>
    <xf numFmtId="3" fontId="57" fillId="0" borderId="1" xfId="0" applyNumberFormat="1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3" fontId="57" fillId="0" borderId="1" xfId="0" applyNumberFormat="1" applyFont="1" applyBorder="1" applyAlignment="1">
      <alignment horizontal="center" vertical="center"/>
    </xf>
    <xf numFmtId="3" fontId="47" fillId="0" borderId="1" xfId="0" applyNumberFormat="1" applyFont="1" applyBorder="1" applyAlignment="1">
      <alignment horizontal="center" vertical="center"/>
    </xf>
    <xf numFmtId="2" fontId="57" fillId="0" borderId="1" xfId="0" applyNumberFormat="1" applyFont="1" applyBorder="1" applyAlignment="1">
      <alignment horizontal="center" vertical="center"/>
    </xf>
    <xf numFmtId="10" fontId="0" fillId="0" borderId="1" xfId="0" applyNumberFormat="1" applyBorder="1"/>
    <xf numFmtId="0" fontId="5" fillId="4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37" fontId="0" fillId="6" borderId="0" xfId="0" applyNumberFormat="1" applyFill="1"/>
    <xf numFmtId="0" fontId="58" fillId="6" borderId="0" xfId="0" applyFont="1" applyFill="1" applyAlignment="1">
      <alignment horizontal="right" vertical="center"/>
    </xf>
    <xf numFmtId="0" fontId="3" fillId="4" borderId="1" xfId="0" applyFont="1" applyFill="1" applyBorder="1"/>
    <xf numFmtId="37" fontId="4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57" fillId="4" borderId="24" xfId="0" applyFont="1" applyFill="1" applyBorder="1" applyAlignment="1">
      <alignment horizontal="center"/>
    </xf>
    <xf numFmtId="0" fontId="57" fillId="4" borderId="26" xfId="0" applyFont="1" applyFill="1" applyBorder="1" applyAlignment="1">
      <alignment horizontal="center"/>
    </xf>
    <xf numFmtId="10" fontId="57" fillId="4" borderId="10" xfId="0" applyNumberFormat="1" applyFont="1" applyFill="1" applyBorder="1" applyAlignment="1">
      <alignment horizontal="center"/>
    </xf>
    <xf numFmtId="0" fontId="57" fillId="0" borderId="16" xfId="0" applyFont="1" applyBorder="1"/>
    <xf numFmtId="0" fontId="57" fillId="0" borderId="0" xfId="0" applyFont="1"/>
    <xf numFmtId="0" fontId="57" fillId="6" borderId="15" xfId="0" applyFont="1" applyFill="1" applyBorder="1"/>
    <xf numFmtId="0" fontId="57" fillId="6" borderId="29" xfId="0" applyFont="1" applyFill="1" applyBorder="1"/>
    <xf numFmtId="10" fontId="57" fillId="6" borderId="29" xfId="2" applyNumberFormat="1" applyFont="1" applyFill="1" applyBorder="1" applyAlignment="1">
      <alignment horizontal="center" vertical="center"/>
    </xf>
    <xf numFmtId="164" fontId="57" fillId="6" borderId="29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right"/>
    </xf>
    <xf numFmtId="10" fontId="57" fillId="0" borderId="0" xfId="0" applyNumberFormat="1" applyFont="1"/>
    <xf numFmtId="9" fontId="57" fillId="0" borderId="0" xfId="0" applyNumberFormat="1" applyFont="1"/>
    <xf numFmtId="0" fontId="57" fillId="0" borderId="0" xfId="0" applyFont="1" applyAlignment="1">
      <alignment vertical="center" wrapText="1"/>
    </xf>
    <xf numFmtId="0" fontId="57" fillId="0" borderId="0" xfId="0" applyFont="1" applyAlignment="1">
      <alignment vertical="top" wrapText="1"/>
    </xf>
    <xf numFmtId="3" fontId="31" fillId="0" borderId="0" xfId="0" applyNumberFormat="1" applyFont="1" applyAlignment="1">
      <alignment horizontal="center" vertical="top" wrapText="1" readingOrder="1"/>
    </xf>
    <xf numFmtId="0" fontId="31" fillId="0" borderId="3" xfId="0" applyFont="1" applyBorder="1" applyAlignment="1">
      <alignment horizontal="left" wrapText="1" readingOrder="1"/>
    </xf>
    <xf numFmtId="3" fontId="31" fillId="0" borderId="3" xfId="0" applyNumberFormat="1" applyFont="1" applyBorder="1" applyAlignment="1">
      <alignment horizontal="center" vertical="top" wrapText="1" readingOrder="1"/>
    </xf>
    <xf numFmtId="3" fontId="31" fillId="0" borderId="12" xfId="0" applyNumberFormat="1" applyFont="1" applyBorder="1" applyAlignment="1">
      <alignment horizontal="center" wrapText="1" readingOrder="1"/>
    </xf>
    <xf numFmtId="3" fontId="57" fillId="0" borderId="0" xfId="0" applyNumberFormat="1" applyFont="1"/>
    <xf numFmtId="10" fontId="57" fillId="0" borderId="0" xfId="0" applyNumberFormat="1" applyFont="1" applyAlignment="1">
      <alignment horizontal="right"/>
    </xf>
    <xf numFmtId="21" fontId="57" fillId="0" borderId="0" xfId="0" applyNumberFormat="1" applyFont="1"/>
    <xf numFmtId="0" fontId="57" fillId="4" borderId="1" xfId="0" applyFont="1" applyFill="1" applyBorder="1" applyAlignment="1">
      <alignment horizontal="center"/>
    </xf>
    <xf numFmtId="0" fontId="57" fillId="6" borderId="1" xfId="0" applyFont="1" applyFill="1" applyBorder="1"/>
    <xf numFmtId="10" fontId="57" fillId="6" borderId="1" xfId="2" applyNumberFormat="1" applyFont="1" applyFill="1" applyBorder="1" applyAlignment="1">
      <alignment horizontal="center" vertical="center"/>
    </xf>
    <xf numFmtId="10" fontId="57" fillId="6" borderId="1" xfId="0" applyNumberFormat="1" applyFont="1" applyFill="1" applyBorder="1" applyAlignment="1">
      <alignment horizontal="center" vertical="center"/>
    </xf>
    <xf numFmtId="37" fontId="57" fillId="0" borderId="0" xfId="0" applyNumberFormat="1" applyFont="1" applyAlignment="1">
      <alignment horizontal="center" vertical="center"/>
    </xf>
    <xf numFmtId="10" fontId="47" fillId="0" borderId="0" xfId="0" applyNumberFormat="1" applyFont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37" fontId="57" fillId="6" borderId="1" xfId="0" applyNumberFormat="1" applyFont="1" applyFill="1" applyBorder="1" applyAlignment="1">
      <alignment horizontal="center" vertical="center"/>
    </xf>
    <xf numFmtId="37" fontId="47" fillId="6" borderId="1" xfId="0" applyNumberFormat="1" applyFont="1" applyFill="1" applyBorder="1" applyAlignment="1">
      <alignment horizontal="center" vertical="center"/>
    </xf>
    <xf numFmtId="37" fontId="47" fillId="6" borderId="0" xfId="0" applyNumberFormat="1" applyFont="1" applyFill="1" applyAlignment="1">
      <alignment horizontal="center" vertical="center"/>
    </xf>
    <xf numFmtId="10" fontId="57" fillId="6" borderId="11" xfId="0" applyNumberFormat="1" applyFont="1" applyFill="1" applyBorder="1" applyAlignment="1">
      <alignment horizontal="center" vertical="center"/>
    </xf>
    <xf numFmtId="0" fontId="60" fillId="4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 wrapText="1" readingOrder="1"/>
    </xf>
    <xf numFmtId="2" fontId="31" fillId="0" borderId="1" xfId="0" applyNumberFormat="1" applyFont="1" applyBorder="1" applyAlignment="1">
      <alignment horizontal="center" vertical="center" wrapText="1" readingOrder="1"/>
    </xf>
    <xf numFmtId="37" fontId="60" fillId="4" borderId="1" xfId="0" applyNumberFormat="1" applyFont="1" applyFill="1" applyBorder="1" applyAlignment="1">
      <alignment horizontal="center" vertical="center"/>
    </xf>
    <xf numFmtId="37" fontId="31" fillId="0" borderId="1" xfId="0" applyNumberFormat="1" applyFont="1" applyBorder="1" applyAlignment="1">
      <alignment horizontal="center" vertical="center" wrapText="1" readingOrder="1"/>
    </xf>
    <xf numFmtId="2" fontId="57" fillId="0" borderId="0" xfId="0" applyNumberFormat="1" applyFont="1"/>
    <xf numFmtId="2" fontId="61" fillId="12" borderId="0" xfId="0" applyNumberFormat="1" applyFont="1" applyFill="1" applyAlignment="1">
      <alignment vertical="center"/>
    </xf>
    <xf numFmtId="2" fontId="61" fillId="0" borderId="0" xfId="0" applyNumberFormat="1" applyFont="1" applyAlignment="1">
      <alignment vertical="center"/>
    </xf>
    <xf numFmtId="37" fontId="31" fillId="0" borderId="0" xfId="0" applyNumberFormat="1" applyFont="1" applyAlignment="1">
      <alignment horizontal="left" wrapText="1" readingOrder="1"/>
    </xf>
    <xf numFmtId="37" fontId="31" fillId="0" borderId="0" xfId="0" applyNumberFormat="1" applyFont="1" applyAlignment="1">
      <alignment horizontal="center" wrapText="1" readingOrder="1"/>
    </xf>
    <xf numFmtId="37" fontId="57" fillId="0" borderId="0" xfId="0" applyNumberFormat="1" applyFont="1"/>
    <xf numFmtId="37" fontId="57" fillId="0" borderId="1" xfId="0" applyNumberFormat="1" applyFont="1" applyBorder="1"/>
    <xf numFmtId="2" fontId="31" fillId="0" borderId="0" xfId="0" applyNumberFormat="1" applyFont="1" applyAlignment="1">
      <alignment horizontal="center" vertical="center" wrapText="1" readingOrder="1"/>
    </xf>
    <xf numFmtId="0" fontId="63" fillId="14" borderId="40" xfId="0" applyFont="1" applyFill="1" applyBorder="1" applyAlignment="1">
      <alignment horizontal="center" wrapText="1" readingOrder="1"/>
    </xf>
    <xf numFmtId="0" fontId="36" fillId="14" borderId="40" xfId="0" applyFont="1" applyFill="1" applyBorder="1" applyAlignment="1">
      <alignment horizontal="center" vertical="center" wrapText="1" readingOrder="1"/>
    </xf>
    <xf numFmtId="10" fontId="37" fillId="14" borderId="40" xfId="0" applyNumberFormat="1" applyFont="1" applyFill="1" applyBorder="1" applyAlignment="1">
      <alignment horizontal="center" vertical="center" wrapText="1" readingOrder="1"/>
    </xf>
    <xf numFmtId="21" fontId="36" fillId="14" borderId="40" xfId="0" applyNumberFormat="1" applyFont="1" applyFill="1" applyBorder="1" applyAlignment="1">
      <alignment horizontal="center" vertical="center" wrapText="1" readingOrder="1"/>
    </xf>
    <xf numFmtId="3" fontId="37" fillId="14" borderId="40" xfId="0" applyNumberFormat="1" applyFont="1" applyFill="1" applyBorder="1" applyAlignment="1">
      <alignment horizontal="center" vertical="center" wrapText="1" readingOrder="1"/>
    </xf>
    <xf numFmtId="3" fontId="36" fillId="14" borderId="40" xfId="0" applyNumberFormat="1" applyFont="1" applyFill="1" applyBorder="1" applyAlignment="1">
      <alignment horizontal="center" vertical="center" wrapText="1" readingOrder="1"/>
    </xf>
    <xf numFmtId="0" fontId="63" fillId="15" borderId="41" xfId="0" applyFont="1" applyFill="1" applyBorder="1" applyAlignment="1">
      <alignment horizontal="center" wrapText="1" readingOrder="1"/>
    </xf>
    <xf numFmtId="0" fontId="36" fillId="15" borderId="41" xfId="0" applyFont="1" applyFill="1" applyBorder="1" applyAlignment="1">
      <alignment horizontal="center" vertical="center" wrapText="1" readingOrder="1"/>
    </xf>
    <xf numFmtId="10" fontId="37" fillId="15" borderId="41" xfId="0" applyNumberFormat="1" applyFont="1" applyFill="1" applyBorder="1" applyAlignment="1">
      <alignment horizontal="center" vertical="center" wrapText="1" readingOrder="1"/>
    </xf>
    <xf numFmtId="21" fontId="36" fillId="15" borderId="41" xfId="0" applyNumberFormat="1" applyFont="1" applyFill="1" applyBorder="1" applyAlignment="1">
      <alignment horizontal="center" vertical="center" wrapText="1" readingOrder="1"/>
    </xf>
    <xf numFmtId="3" fontId="36" fillId="15" borderId="41" xfId="0" applyNumberFormat="1" applyFont="1" applyFill="1" applyBorder="1" applyAlignment="1">
      <alignment horizontal="center" vertical="center" wrapText="1" readingOrder="1"/>
    </xf>
    <xf numFmtId="0" fontId="63" fillId="14" borderId="41" xfId="0" applyFont="1" applyFill="1" applyBorder="1" applyAlignment="1">
      <alignment horizontal="center" wrapText="1" readingOrder="1"/>
    </xf>
    <xf numFmtId="0" fontId="36" fillId="14" borderId="41" xfId="0" applyFont="1" applyFill="1" applyBorder="1" applyAlignment="1">
      <alignment horizontal="center" vertical="center" wrapText="1" readingOrder="1"/>
    </xf>
    <xf numFmtId="10" fontId="36" fillId="14" borderId="41" xfId="0" applyNumberFormat="1" applyFont="1" applyFill="1" applyBorder="1" applyAlignment="1">
      <alignment horizontal="center" vertical="center" wrapText="1" readingOrder="1"/>
    </xf>
    <xf numFmtId="21" fontId="36" fillId="14" borderId="41" xfId="0" applyNumberFormat="1" applyFont="1" applyFill="1" applyBorder="1" applyAlignment="1">
      <alignment horizontal="center" vertical="center" wrapText="1" readingOrder="1"/>
    </xf>
    <xf numFmtId="3" fontId="36" fillId="14" borderId="41" xfId="0" applyNumberFormat="1" applyFont="1" applyFill="1" applyBorder="1" applyAlignment="1">
      <alignment horizontal="center" vertical="center" wrapText="1" readingOrder="1"/>
    </xf>
    <xf numFmtId="0" fontId="36" fillId="15" borderId="41" xfId="0" applyFont="1" applyFill="1" applyBorder="1" applyAlignment="1">
      <alignment horizontal="left" vertical="center" wrapText="1" readingOrder="1"/>
    </xf>
    <xf numFmtId="10" fontId="37" fillId="14" borderId="41" xfId="0" applyNumberFormat="1" applyFont="1" applyFill="1" applyBorder="1" applyAlignment="1">
      <alignment horizontal="center" vertical="center" wrapText="1" readingOrder="1"/>
    </xf>
    <xf numFmtId="0" fontId="36" fillId="14" borderId="41" xfId="0" applyFont="1" applyFill="1" applyBorder="1" applyAlignment="1">
      <alignment horizontal="left" vertical="center" wrapText="1" readingOrder="1"/>
    </xf>
    <xf numFmtId="0" fontId="62" fillId="13" borderId="39" xfId="0" applyFont="1" applyFill="1" applyBorder="1" applyAlignment="1">
      <alignment horizontal="center" vertical="center" wrapText="1" readingOrder="1"/>
    </xf>
    <xf numFmtId="0" fontId="36" fillId="14" borderId="40" xfId="0" applyFont="1" applyFill="1" applyBorder="1" applyAlignment="1">
      <alignment horizontal="left" vertical="center" wrapText="1" readingOrder="1"/>
    </xf>
    <xf numFmtId="22" fontId="36" fillId="15" borderId="41" xfId="0" applyNumberFormat="1" applyFont="1" applyFill="1" applyBorder="1" applyAlignment="1">
      <alignment horizontal="center" vertical="center" wrapText="1" readingOrder="1"/>
    </xf>
    <xf numFmtId="37" fontId="36" fillId="14" borderId="41" xfId="0" applyNumberFormat="1" applyFont="1" applyFill="1" applyBorder="1" applyAlignment="1">
      <alignment horizontal="center" vertical="center" wrapText="1" readingOrder="1"/>
    </xf>
    <xf numFmtId="3" fontId="40" fillId="0" borderId="0" xfId="0" applyNumberFormat="1" applyFont="1"/>
    <xf numFmtId="0" fontId="62" fillId="13" borderId="42" xfId="0" applyFont="1" applyFill="1" applyBorder="1" applyAlignment="1">
      <alignment horizontal="center" vertical="center" wrapText="1" readingOrder="1"/>
    </xf>
    <xf numFmtId="3" fontId="36" fillId="14" borderId="43" xfId="0" applyNumberFormat="1" applyFont="1" applyFill="1" applyBorder="1" applyAlignment="1">
      <alignment horizontal="center" vertical="center" wrapText="1" readingOrder="1"/>
    </xf>
    <xf numFmtId="3" fontId="36" fillId="15" borderId="44" xfId="0" applyNumberFormat="1" applyFont="1" applyFill="1" applyBorder="1" applyAlignment="1">
      <alignment horizontal="center" vertical="center" wrapText="1" readingOrder="1"/>
    </xf>
    <xf numFmtId="3" fontId="36" fillId="0" borderId="0" xfId="0" applyNumberFormat="1" applyFont="1" applyAlignment="1">
      <alignment horizontal="center" wrapText="1" readingOrder="1"/>
    </xf>
    <xf numFmtId="0" fontId="36" fillId="0" borderId="0" xfId="0" applyFont="1" applyAlignment="1">
      <alignment horizontal="center" wrapText="1" readingOrder="1"/>
    </xf>
    <xf numFmtId="0" fontId="64" fillId="0" borderId="1" xfId="0" applyFont="1" applyBorder="1" applyAlignment="1">
      <alignment horizontal="left" vertical="center" wrapText="1" readingOrder="1"/>
    </xf>
    <xf numFmtId="3" fontId="64" fillId="0" borderId="1" xfId="0" applyNumberFormat="1" applyFont="1" applyBorder="1" applyAlignment="1">
      <alignment horizontal="center" vertical="center" wrapText="1" readingOrder="1"/>
    </xf>
    <xf numFmtId="0" fontId="57" fillId="0" borderId="1" xfId="0" applyFont="1" applyBorder="1" applyAlignment="1">
      <alignment horizontal="left"/>
    </xf>
    <xf numFmtId="37" fontId="57" fillId="0" borderId="1" xfId="0" applyNumberFormat="1" applyFont="1" applyBorder="1" applyAlignment="1">
      <alignment horizontal="center"/>
    </xf>
    <xf numFmtId="0" fontId="65" fillId="4" borderId="1" xfId="0" applyFont="1" applyFill="1" applyBorder="1" applyAlignment="1">
      <alignment horizontal="center" vertical="center"/>
    </xf>
    <xf numFmtId="0" fontId="66" fillId="4" borderId="1" xfId="0" applyFont="1" applyFill="1" applyBorder="1"/>
    <xf numFmtId="2" fontId="66" fillId="4" borderId="1" xfId="0" applyNumberFormat="1" applyFont="1" applyFill="1" applyBorder="1"/>
    <xf numFmtId="37" fontId="0" fillId="0" borderId="0" xfId="0" applyNumberFormat="1" applyAlignment="1">
      <alignment horizontal="center"/>
    </xf>
    <xf numFmtId="37" fontId="36" fillId="15" borderId="41" xfId="0" applyNumberFormat="1" applyFont="1" applyFill="1" applyBorder="1" applyAlignment="1">
      <alignment horizontal="center" vertical="center" wrapText="1" readingOrder="1"/>
    </xf>
    <xf numFmtId="37" fontId="62" fillId="13" borderId="39" xfId="0" applyNumberFormat="1" applyFont="1" applyFill="1" applyBorder="1" applyAlignment="1">
      <alignment horizontal="center" vertical="center" wrapText="1" readingOrder="1"/>
    </xf>
    <xf numFmtId="37" fontId="36" fillId="14" borderId="40" xfId="0" applyNumberFormat="1" applyFont="1" applyFill="1" applyBorder="1" applyAlignment="1">
      <alignment horizontal="center" vertical="center" wrapText="1" readingOrder="1"/>
    </xf>
    <xf numFmtId="37" fontId="62" fillId="0" borderId="0" xfId="0" applyNumberFormat="1" applyFont="1" applyAlignment="1">
      <alignment horizontal="center" vertical="center" wrapText="1" readingOrder="1"/>
    </xf>
    <xf numFmtId="37" fontId="36" fillId="0" borderId="0" xfId="0" applyNumberFormat="1" applyFont="1" applyAlignment="1">
      <alignment horizontal="left" vertical="center" wrapText="1" readingOrder="1"/>
    </xf>
    <xf numFmtId="37" fontId="36" fillId="15" borderId="44" xfId="0" applyNumberFormat="1" applyFont="1" applyFill="1" applyBorder="1" applyAlignment="1">
      <alignment horizontal="center" vertical="center" wrapText="1" readingOrder="1"/>
    </xf>
    <xf numFmtId="37" fontId="36" fillId="14" borderId="44" xfId="0" applyNumberFormat="1" applyFont="1" applyFill="1" applyBorder="1" applyAlignment="1">
      <alignment horizontal="center" vertical="center" wrapText="1" readingOrder="1"/>
    </xf>
    <xf numFmtId="0" fontId="67" fillId="16" borderId="45" xfId="0" applyFont="1" applyFill="1" applyBorder="1"/>
    <xf numFmtId="0" fontId="68" fillId="17" borderId="46" xfId="0" applyFont="1" applyFill="1" applyBorder="1" applyAlignment="1">
      <alignment horizontal="center"/>
    </xf>
    <xf numFmtId="0" fontId="69" fillId="18" borderId="47" xfId="0" applyFont="1" applyFill="1" applyBorder="1"/>
    <xf numFmtId="0" fontId="70" fillId="19" borderId="48" xfId="0" applyFont="1" applyFill="1" applyBorder="1"/>
    <xf numFmtId="3" fontId="31" fillId="0" borderId="3" xfId="0" applyNumberFormat="1" applyFont="1" applyBorder="1" applyAlignment="1">
      <alignment horizontal="center" wrapText="1" readingOrder="1"/>
    </xf>
    <xf numFmtId="3" fontId="31" fillId="0" borderId="3" xfId="0" applyNumberFormat="1" applyFont="1" applyBorder="1" applyAlignment="1">
      <alignment horizontal="center" vertical="center" wrapText="1" readingOrder="1"/>
    </xf>
    <xf numFmtId="0" fontId="31" fillId="0" borderId="3" xfId="0" applyFont="1" applyBorder="1" applyAlignment="1">
      <alignment horizontal="center" vertical="center" wrapText="1" readingOrder="1"/>
    </xf>
    <xf numFmtId="21" fontId="31" fillId="0" borderId="3" xfId="0" applyNumberFormat="1" applyFont="1" applyBorder="1" applyAlignment="1">
      <alignment horizontal="center" vertical="center" wrapText="1" readingOrder="1"/>
    </xf>
    <xf numFmtId="0" fontId="31" fillId="0" borderId="3" xfId="0" applyFont="1" applyBorder="1" applyAlignment="1">
      <alignment horizontal="center" wrapText="1" readingOrder="1"/>
    </xf>
    <xf numFmtId="0" fontId="0" fillId="4" borderId="49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3" fontId="0" fillId="0" borderId="49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3" fontId="71" fillId="0" borderId="0" xfId="0" applyNumberFormat="1" applyFont="1"/>
    <xf numFmtId="0" fontId="5" fillId="0" borderId="0" xfId="0" applyFont="1" applyAlignment="1">
      <alignment horizontal="center" vertical="center"/>
    </xf>
    <xf numFmtId="0" fontId="0" fillId="0" borderId="49" xfId="0" applyBorder="1"/>
    <xf numFmtId="0" fontId="0" fillId="20" borderId="2" xfId="0" applyFill="1" applyBorder="1"/>
    <xf numFmtId="0" fontId="0" fillId="0" borderId="7" xfId="0" applyBorder="1" applyAlignment="1">
      <alignment horizontal="center" vertical="center"/>
    </xf>
    <xf numFmtId="0" fontId="0" fillId="20" borderId="0" xfId="0" applyFill="1"/>
    <xf numFmtId="3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7" fillId="0" borderId="1" xfId="0" applyFont="1" applyBorder="1"/>
    <xf numFmtId="37" fontId="67" fillId="0" borderId="1" xfId="0" applyNumberFormat="1" applyFont="1" applyBorder="1"/>
    <xf numFmtId="0" fontId="67" fillId="0" borderId="1" xfId="0" applyFont="1" applyBorder="1" applyAlignment="1">
      <alignment horizontal="center" vertical="center"/>
    </xf>
    <xf numFmtId="37" fontId="67" fillId="0" borderId="1" xfId="0" applyNumberFormat="1" applyFont="1" applyBorder="1" applyAlignment="1">
      <alignment horizontal="center" vertical="center"/>
    </xf>
    <xf numFmtId="0" fontId="73" fillId="0" borderId="0" xfId="0" applyFont="1"/>
    <xf numFmtId="37" fontId="73" fillId="0" borderId="0" xfId="0" applyNumberFormat="1" applyFont="1"/>
    <xf numFmtId="0" fontId="22" fillId="11" borderId="1" xfId="0" applyFont="1" applyFill="1" applyBorder="1" applyAlignment="1">
      <alignment horizontal="center" readingOrder="1"/>
    </xf>
    <xf numFmtId="0" fontId="72" fillId="11" borderId="1" xfId="0" applyFont="1" applyFill="1" applyBorder="1" applyAlignment="1">
      <alignment horizontal="center" vertical="center" readingOrder="1"/>
    </xf>
    <xf numFmtId="3" fontId="21" fillId="0" borderId="1" xfId="0" applyNumberFormat="1" applyFont="1" applyBorder="1" applyAlignment="1">
      <alignment horizontal="center" vertical="center" readingOrder="1"/>
    </xf>
    <xf numFmtId="0" fontId="67" fillId="0" borderId="0" xfId="0" applyFont="1"/>
    <xf numFmtId="0" fontId="67" fillId="0" borderId="0" xfId="0" applyFont="1" applyAlignment="1">
      <alignment wrapText="1"/>
    </xf>
    <xf numFmtId="0" fontId="31" fillId="0" borderId="0" xfId="0" applyFont="1" applyAlignment="1">
      <alignment horizontal="left" vertical="center" wrapText="1" readingOrder="1"/>
    </xf>
    <xf numFmtId="37" fontId="50" fillId="0" borderId="1" xfId="0" applyNumberFormat="1" applyFont="1" applyBorder="1" applyAlignment="1">
      <alignment horizontal="center" vertical="center"/>
    </xf>
    <xf numFmtId="37" fontId="76" fillId="0" borderId="1" xfId="0" applyNumberFormat="1" applyFont="1" applyBorder="1" applyAlignment="1">
      <alignment horizontal="center" vertical="center"/>
    </xf>
    <xf numFmtId="41" fontId="76" fillId="0" borderId="1" xfId="4" applyNumberFormat="1" applyFont="1" applyBorder="1" applyAlignment="1">
      <alignment horizontal="center" vertical="center"/>
    </xf>
    <xf numFmtId="37" fontId="50" fillId="0" borderId="1" xfId="0" applyNumberFormat="1" applyFont="1" applyBorder="1"/>
    <xf numFmtId="3" fontId="67" fillId="0" borderId="1" xfId="0" applyNumberFormat="1" applyFont="1" applyBorder="1" applyAlignment="1">
      <alignment horizontal="center" vertical="center"/>
    </xf>
    <xf numFmtId="10" fontId="67" fillId="0" borderId="1" xfId="0" applyNumberFormat="1" applyFont="1" applyBorder="1" applyAlignment="1">
      <alignment horizontal="center" vertical="center"/>
    </xf>
    <xf numFmtId="3" fontId="77" fillId="0" borderId="1" xfId="0" applyNumberFormat="1" applyFont="1" applyBorder="1" applyAlignment="1">
      <alignment horizontal="center" vertical="center"/>
    </xf>
    <xf numFmtId="0" fontId="67" fillId="4" borderId="1" xfId="0" applyFont="1" applyFill="1" applyBorder="1"/>
    <xf numFmtId="37" fontId="74" fillId="4" borderId="1" xfId="0" applyNumberFormat="1" applyFont="1" applyFill="1" applyBorder="1" applyAlignment="1">
      <alignment horizontal="center" vertical="center"/>
    </xf>
    <xf numFmtId="10" fontId="74" fillId="4" borderId="1" xfId="0" applyNumberFormat="1" applyFont="1" applyFill="1" applyBorder="1" applyAlignment="1">
      <alignment horizontal="center" vertical="center"/>
    </xf>
    <xf numFmtId="37" fontId="67" fillId="0" borderId="0" xfId="0" applyNumberFormat="1" applyFont="1" applyAlignment="1">
      <alignment horizontal="center" vertical="center"/>
    </xf>
    <xf numFmtId="10" fontId="67" fillId="0" borderId="0" xfId="0" applyNumberFormat="1" applyFont="1" applyAlignment="1">
      <alignment horizontal="center" vertical="center"/>
    </xf>
    <xf numFmtId="0" fontId="36" fillId="0" borderId="40" xfId="0" applyFont="1" applyBorder="1" applyAlignment="1">
      <alignment horizontal="center" vertical="center" wrapText="1" readingOrder="1"/>
    </xf>
    <xf numFmtId="10" fontId="37" fillId="0" borderId="40" xfId="0" applyNumberFormat="1" applyFont="1" applyBorder="1" applyAlignment="1">
      <alignment horizontal="center" vertical="center" wrapText="1" readingOrder="1"/>
    </xf>
    <xf numFmtId="21" fontId="36" fillId="0" borderId="40" xfId="0" applyNumberFormat="1" applyFont="1" applyBorder="1" applyAlignment="1">
      <alignment horizontal="center" vertical="center" wrapText="1" readingOrder="1"/>
    </xf>
    <xf numFmtId="3" fontId="37" fillId="0" borderId="40" xfId="0" applyNumberFormat="1" applyFont="1" applyBorder="1" applyAlignment="1">
      <alignment horizontal="center" vertical="center" wrapText="1" readingOrder="1"/>
    </xf>
    <xf numFmtId="3" fontId="36" fillId="0" borderId="40" xfId="0" applyNumberFormat="1" applyFont="1" applyBorder="1" applyAlignment="1">
      <alignment horizontal="center" vertical="center" wrapText="1" readingOrder="1"/>
    </xf>
    <xf numFmtId="37" fontId="36" fillId="0" borderId="40" xfId="0" applyNumberFormat="1" applyFont="1" applyBorder="1" applyAlignment="1">
      <alignment horizontal="center" vertical="center" wrapText="1" readingOrder="1"/>
    </xf>
    <xf numFmtId="0" fontId="36" fillId="0" borderId="41" xfId="0" applyFont="1" applyBorder="1" applyAlignment="1">
      <alignment horizontal="center" vertical="center" wrapText="1" readingOrder="1"/>
    </xf>
    <xf numFmtId="10" fontId="37" fillId="0" borderId="41" xfId="0" applyNumberFormat="1" applyFont="1" applyBorder="1" applyAlignment="1">
      <alignment horizontal="center" vertical="center" wrapText="1" readingOrder="1"/>
    </xf>
    <xf numFmtId="22" fontId="36" fillId="0" borderId="41" xfId="0" applyNumberFormat="1" applyFont="1" applyBorder="1" applyAlignment="1">
      <alignment horizontal="center" vertical="center" wrapText="1" readingOrder="1"/>
    </xf>
    <xf numFmtId="3" fontId="36" fillId="0" borderId="41" xfId="0" applyNumberFormat="1" applyFont="1" applyBorder="1" applyAlignment="1">
      <alignment horizontal="center" vertical="center" wrapText="1" readingOrder="1"/>
    </xf>
    <xf numFmtId="37" fontId="36" fillId="0" borderId="41" xfId="0" applyNumberFormat="1" applyFont="1" applyBorder="1" applyAlignment="1">
      <alignment horizontal="center" vertical="center" wrapText="1" readingOrder="1"/>
    </xf>
    <xf numFmtId="10" fontId="36" fillId="0" borderId="41" xfId="0" applyNumberFormat="1" applyFont="1" applyBorder="1" applyAlignment="1">
      <alignment horizontal="center" vertical="center" wrapText="1" readingOrder="1"/>
    </xf>
    <xf numFmtId="21" fontId="36" fillId="0" borderId="41" xfId="0" applyNumberFormat="1" applyFont="1" applyBorder="1" applyAlignment="1">
      <alignment horizontal="center" vertical="center" wrapText="1" readingOrder="1"/>
    </xf>
    <xf numFmtId="0" fontId="78" fillId="21" borderId="50" xfId="0" applyFont="1" applyFill="1" applyBorder="1"/>
    <xf numFmtId="0" fontId="79" fillId="22" borderId="51" xfId="0" applyFont="1" applyFill="1" applyBorder="1"/>
    <xf numFmtId="0" fontId="80" fillId="23" borderId="52" xfId="0" applyFont="1" applyFill="1" applyBorder="1"/>
    <xf numFmtId="2" fontId="81" fillId="24" borderId="53" xfId="0" applyNumberFormat="1" applyFont="1" applyFill="1" applyBorder="1"/>
    <xf numFmtId="3" fontId="21" fillId="0" borderId="0" xfId="0" applyNumberFormat="1" applyFont="1" applyAlignment="1">
      <alignment horizontal="center" vertical="center" wrapText="1" readingOrder="1"/>
    </xf>
    <xf numFmtId="10" fontId="21" fillId="0" borderId="0" xfId="0" applyNumberFormat="1" applyFont="1" applyAlignment="1">
      <alignment horizontal="center" vertical="center" wrapText="1" readingOrder="1"/>
    </xf>
    <xf numFmtId="3" fontId="31" fillId="0" borderId="0" xfId="0" applyNumberFormat="1" applyFont="1" applyAlignment="1">
      <alignment horizontal="center" vertical="center" wrapText="1" readingOrder="1"/>
    </xf>
    <xf numFmtId="0" fontId="31" fillId="0" borderId="0" xfId="0" applyFont="1" applyAlignment="1">
      <alignment horizontal="center" vertical="center" wrapText="1" readingOrder="1"/>
    </xf>
    <xf numFmtId="21" fontId="31" fillId="0" borderId="0" xfId="0" applyNumberFormat="1" applyFont="1" applyAlignment="1">
      <alignment horizontal="center" vertical="center" wrapText="1" readingOrder="1"/>
    </xf>
    <xf numFmtId="0" fontId="75" fillId="4" borderId="54" xfId="0" applyFont="1" applyFill="1" applyBorder="1" applyAlignment="1">
      <alignment horizontal="left" vertical="center" readingOrder="1"/>
    </xf>
    <xf numFmtId="17" fontId="60" fillId="4" borderId="54" xfId="0" applyNumberFormat="1" applyFont="1" applyFill="1" applyBorder="1" applyAlignment="1">
      <alignment horizontal="center" vertical="center"/>
    </xf>
    <xf numFmtId="37" fontId="60" fillId="4" borderId="54" xfId="0" applyNumberFormat="1" applyFont="1" applyFill="1" applyBorder="1" applyAlignment="1">
      <alignment horizontal="center" vertical="center"/>
    </xf>
    <xf numFmtId="0" fontId="60" fillId="4" borderId="54" xfId="0" applyFont="1" applyFill="1" applyBorder="1" applyAlignment="1">
      <alignment horizontal="center" vertical="center"/>
    </xf>
    <xf numFmtId="0" fontId="57" fillId="0" borderId="54" xfId="0" applyFont="1" applyBorder="1" applyAlignment="1">
      <alignment horizontal="left" vertical="center"/>
    </xf>
    <xf numFmtId="37" fontId="57" fillId="0" borderId="54" xfId="0" applyNumberFormat="1" applyFont="1" applyBorder="1" applyAlignment="1">
      <alignment horizontal="center" vertical="center"/>
    </xf>
    <xf numFmtId="10" fontId="57" fillId="0" borderId="54" xfId="1" applyNumberFormat="1" applyFont="1" applyBorder="1" applyAlignment="1">
      <alignment horizontal="center" vertical="center"/>
    </xf>
    <xf numFmtId="168" fontId="57" fillId="0" borderId="54" xfId="0" applyNumberFormat="1" applyFont="1" applyBorder="1" applyAlignment="1">
      <alignment horizontal="center" vertical="center"/>
    </xf>
    <xf numFmtId="0" fontId="0" fillId="0" borderId="54" xfId="0" applyBorder="1" applyAlignment="1">
      <alignment horizontal="left"/>
    </xf>
    <xf numFmtId="37" fontId="0" fillId="0" borderId="54" xfId="0" applyNumberFormat="1" applyBorder="1"/>
    <xf numFmtId="10" fontId="0" fillId="0" borderId="54" xfId="0" applyNumberFormat="1" applyBorder="1" applyAlignment="1">
      <alignment horizontal="center"/>
    </xf>
    <xf numFmtId="10" fontId="57" fillId="0" borderId="54" xfId="0" applyNumberFormat="1" applyFont="1" applyBorder="1" applyAlignment="1">
      <alignment horizontal="center" vertical="center"/>
    </xf>
    <xf numFmtId="0" fontId="67" fillId="0" borderId="1" xfId="0" applyFont="1" applyBorder="1" applyAlignment="1">
      <alignment vertical="center"/>
    </xf>
    <xf numFmtId="0" fontId="36" fillId="26" borderId="41" xfId="0" applyFont="1" applyFill="1" applyBorder="1" applyAlignment="1">
      <alignment horizontal="center" vertical="center" wrapText="1" readingOrder="1"/>
    </xf>
    <xf numFmtId="0" fontId="0" fillId="26" borderId="0" xfId="0" applyFill="1"/>
    <xf numFmtId="0" fontId="36" fillId="26" borderId="44" xfId="0" applyFont="1" applyFill="1" applyBorder="1" applyAlignment="1">
      <alignment horizontal="center" vertical="center" wrapText="1" readingOrder="1"/>
    </xf>
    <xf numFmtId="0" fontId="36" fillId="14" borderId="44" xfId="0" applyFont="1" applyFill="1" applyBorder="1" applyAlignment="1">
      <alignment horizontal="center" vertical="center" wrapText="1" readingOrder="1"/>
    </xf>
    <xf numFmtId="10" fontId="0" fillId="26" borderId="57" xfId="0" applyNumberFormat="1" applyFill="1" applyBorder="1" applyAlignment="1">
      <alignment horizontal="center"/>
    </xf>
    <xf numFmtId="21" fontId="0" fillId="26" borderId="57" xfId="0" applyNumberFormat="1" applyFill="1" applyBorder="1" applyAlignment="1">
      <alignment horizontal="center"/>
    </xf>
    <xf numFmtId="3" fontId="36" fillId="26" borderId="57" xfId="0" applyNumberFormat="1" applyFont="1" applyFill="1" applyBorder="1" applyAlignment="1">
      <alignment horizontal="center" vertical="center" wrapText="1" readingOrder="1"/>
    </xf>
    <xf numFmtId="0" fontId="0" fillId="26" borderId="57" xfId="0" applyFill="1" applyBorder="1" applyAlignment="1">
      <alignment horizontal="center"/>
    </xf>
    <xf numFmtId="37" fontId="0" fillId="26" borderId="57" xfId="0" applyNumberFormat="1" applyFill="1" applyBorder="1" applyAlignment="1">
      <alignment horizontal="center"/>
    </xf>
    <xf numFmtId="21" fontId="36" fillId="26" borderId="57" xfId="0" applyNumberFormat="1" applyFont="1" applyFill="1" applyBorder="1" applyAlignment="1">
      <alignment horizontal="center" vertical="center" wrapText="1" readingOrder="1"/>
    </xf>
    <xf numFmtId="0" fontId="0" fillId="0" borderId="56" xfId="0" applyBorder="1" applyAlignment="1">
      <alignment vertical="center"/>
    </xf>
    <xf numFmtId="10" fontId="37" fillId="26" borderId="41" xfId="0" applyNumberFormat="1" applyFont="1" applyFill="1" applyBorder="1" applyAlignment="1">
      <alignment horizontal="center" vertical="center" wrapText="1" readingOrder="1"/>
    </xf>
    <xf numFmtId="21" fontId="36" fillId="26" borderId="41" xfId="0" applyNumberFormat="1" applyFont="1" applyFill="1" applyBorder="1" applyAlignment="1">
      <alignment horizontal="center" vertical="center" wrapText="1" readingOrder="1"/>
    </xf>
    <xf numFmtId="3" fontId="36" fillId="26" borderId="41" xfId="0" applyNumberFormat="1" applyFont="1" applyFill="1" applyBorder="1" applyAlignment="1">
      <alignment horizontal="center" vertical="center" wrapText="1" readingOrder="1"/>
    </xf>
    <xf numFmtId="37" fontId="36" fillId="26" borderId="41" xfId="0" applyNumberFormat="1" applyFont="1" applyFill="1" applyBorder="1" applyAlignment="1">
      <alignment horizontal="center" vertical="center" wrapText="1" readingOrder="1"/>
    </xf>
    <xf numFmtId="0" fontId="36" fillId="12" borderId="41" xfId="0" applyFont="1" applyFill="1" applyBorder="1" applyAlignment="1">
      <alignment horizontal="center" vertical="center" wrapText="1" readingOrder="1"/>
    </xf>
    <xf numFmtId="10" fontId="37" fillId="12" borderId="41" xfId="0" applyNumberFormat="1" applyFont="1" applyFill="1" applyBorder="1" applyAlignment="1">
      <alignment horizontal="center" vertical="center" wrapText="1" readingOrder="1"/>
    </xf>
    <xf numFmtId="21" fontId="36" fillId="12" borderId="41" xfId="0" applyNumberFormat="1" applyFont="1" applyFill="1" applyBorder="1" applyAlignment="1">
      <alignment horizontal="center" vertical="center" wrapText="1" readingOrder="1"/>
    </xf>
    <xf numFmtId="3" fontId="36" fillId="12" borderId="41" xfId="0" applyNumberFormat="1" applyFont="1" applyFill="1" applyBorder="1" applyAlignment="1">
      <alignment horizontal="center" vertical="center" wrapText="1" readingOrder="1"/>
    </xf>
    <xf numFmtId="37" fontId="36" fillId="12" borderId="41" xfId="0" applyNumberFormat="1" applyFont="1" applyFill="1" applyBorder="1" applyAlignment="1">
      <alignment horizontal="center" vertical="center" wrapText="1" readingOrder="1"/>
    </xf>
    <xf numFmtId="10" fontId="37" fillId="27" borderId="41" xfId="0" applyNumberFormat="1" applyFont="1" applyFill="1" applyBorder="1" applyAlignment="1">
      <alignment horizontal="center" vertical="center" wrapText="1" readingOrder="1"/>
    </xf>
    <xf numFmtId="21" fontId="36" fillId="27" borderId="41" xfId="0" applyNumberFormat="1" applyFont="1" applyFill="1" applyBorder="1" applyAlignment="1">
      <alignment horizontal="center" vertical="center" wrapText="1" readingOrder="1"/>
    </xf>
    <xf numFmtId="3" fontId="36" fillId="27" borderId="41" xfId="0" applyNumberFormat="1" applyFont="1" applyFill="1" applyBorder="1" applyAlignment="1">
      <alignment horizontal="center" vertical="center" wrapText="1" readingOrder="1"/>
    </xf>
    <xf numFmtId="37" fontId="36" fillId="27" borderId="41" xfId="0" applyNumberFormat="1" applyFont="1" applyFill="1" applyBorder="1" applyAlignment="1">
      <alignment horizontal="center" vertical="center" wrapText="1" readingOrder="1"/>
    </xf>
    <xf numFmtId="10" fontId="37" fillId="12" borderId="55" xfId="0" applyNumberFormat="1" applyFont="1" applyFill="1" applyBorder="1" applyAlignment="1">
      <alignment horizontal="center" vertical="center" wrapText="1" readingOrder="1"/>
    </xf>
    <xf numFmtId="21" fontId="36" fillId="12" borderId="55" xfId="0" applyNumberFormat="1" applyFont="1" applyFill="1" applyBorder="1" applyAlignment="1">
      <alignment horizontal="center" vertical="center" wrapText="1" readingOrder="1"/>
    </xf>
    <xf numFmtId="3" fontId="36" fillId="12" borderId="55" xfId="0" applyNumberFormat="1" applyFont="1" applyFill="1" applyBorder="1" applyAlignment="1">
      <alignment horizontal="center" vertical="center" wrapText="1" readingOrder="1"/>
    </xf>
    <xf numFmtId="37" fontId="36" fillId="12" borderId="55" xfId="0" applyNumberFormat="1" applyFont="1" applyFill="1" applyBorder="1" applyAlignment="1">
      <alignment horizontal="center" vertical="center" wrapText="1" readingOrder="1"/>
    </xf>
    <xf numFmtId="10" fontId="37" fillId="26" borderId="57" xfId="0" applyNumberFormat="1" applyFont="1" applyFill="1" applyBorder="1" applyAlignment="1">
      <alignment horizontal="center" vertical="center" wrapText="1" readingOrder="1"/>
    </xf>
    <xf numFmtId="37" fontId="36" fillId="26" borderId="57" xfId="0" applyNumberFormat="1" applyFont="1" applyFill="1" applyBorder="1" applyAlignment="1">
      <alignment horizontal="center" vertical="center" wrapText="1" readingOrder="1"/>
    </xf>
    <xf numFmtId="10" fontId="37" fillId="12" borderId="57" xfId="0" applyNumberFormat="1" applyFont="1" applyFill="1" applyBorder="1" applyAlignment="1">
      <alignment horizontal="center" vertical="center" wrapText="1" readingOrder="1"/>
    </xf>
    <xf numFmtId="21" fontId="36" fillId="12" borderId="57" xfId="0" applyNumberFormat="1" applyFont="1" applyFill="1" applyBorder="1" applyAlignment="1">
      <alignment horizontal="center" vertical="center" wrapText="1" readingOrder="1"/>
    </xf>
    <xf numFmtId="3" fontId="36" fillId="12" borderId="57" xfId="0" applyNumberFormat="1" applyFont="1" applyFill="1" applyBorder="1" applyAlignment="1">
      <alignment horizontal="center" vertical="center" wrapText="1" readingOrder="1"/>
    </xf>
    <xf numFmtId="37" fontId="36" fillId="12" borderId="57" xfId="0" applyNumberFormat="1" applyFont="1" applyFill="1" applyBorder="1" applyAlignment="1">
      <alignment horizontal="center" vertical="center" wrapText="1" readingOrder="1"/>
    </xf>
    <xf numFmtId="0" fontId="36" fillId="12" borderId="57" xfId="0" applyFont="1" applyFill="1" applyBorder="1" applyAlignment="1">
      <alignment horizontal="center" vertical="center" wrapText="1" readingOrder="1"/>
    </xf>
    <xf numFmtId="3" fontId="31" fillId="0" borderId="0" xfId="0" applyNumberFormat="1" applyFont="1"/>
    <xf numFmtId="3" fontId="47" fillId="0" borderId="0" xfId="0" applyNumberFormat="1" applyFont="1"/>
    <xf numFmtId="0" fontId="36" fillId="27" borderId="58" xfId="0" applyFont="1" applyFill="1" applyBorder="1" applyAlignment="1">
      <alignment horizontal="center" vertical="center" wrapText="1" readingOrder="1"/>
    </xf>
    <xf numFmtId="10" fontId="0" fillId="27" borderId="59" xfId="0" applyNumberFormat="1" applyFill="1" applyBorder="1" applyAlignment="1">
      <alignment horizontal="center"/>
    </xf>
    <xf numFmtId="21" fontId="0" fillId="27" borderId="59" xfId="0" applyNumberFormat="1" applyFill="1" applyBorder="1" applyAlignment="1">
      <alignment horizontal="center"/>
    </xf>
    <xf numFmtId="0" fontId="0" fillId="27" borderId="59" xfId="0" applyFill="1" applyBorder="1" applyAlignment="1">
      <alignment horizontal="center"/>
    </xf>
    <xf numFmtId="37" fontId="0" fillId="27" borderId="59" xfId="0" applyNumberFormat="1" applyFill="1" applyBorder="1" applyAlignment="1">
      <alignment horizontal="center"/>
    </xf>
    <xf numFmtId="0" fontId="36" fillId="26" borderId="60" xfId="0" applyFont="1" applyFill="1" applyBorder="1" applyAlignment="1">
      <alignment horizontal="center" vertical="center" wrapText="1" readingOrder="1"/>
    </xf>
    <xf numFmtId="0" fontId="63" fillId="14" borderId="55" xfId="0" applyFont="1" applyFill="1" applyBorder="1" applyAlignment="1">
      <alignment horizontal="center" wrapText="1" readingOrder="1"/>
    </xf>
    <xf numFmtId="0" fontId="36" fillId="14" borderId="55" xfId="0" applyFont="1" applyFill="1" applyBorder="1" applyAlignment="1">
      <alignment horizontal="left" vertical="center" wrapText="1" readingOrder="1"/>
    </xf>
    <xf numFmtId="0" fontId="63" fillId="15" borderId="64" xfId="0" applyFont="1" applyFill="1" applyBorder="1" applyAlignment="1">
      <alignment horizontal="center" wrapText="1" readingOrder="1"/>
    </xf>
    <xf numFmtId="0" fontId="36" fillId="15" borderId="65" xfId="0" applyFont="1" applyFill="1" applyBorder="1" applyAlignment="1">
      <alignment horizontal="left" vertical="center" wrapText="1" readingOrder="1"/>
    </xf>
    <xf numFmtId="10" fontId="0" fillId="26" borderId="61" xfId="0" applyNumberFormat="1" applyFill="1" applyBorder="1" applyAlignment="1">
      <alignment horizontal="center" vertical="center"/>
    </xf>
    <xf numFmtId="37" fontId="0" fillId="26" borderId="62" xfId="0" applyNumberFormat="1" applyFill="1" applyBorder="1" applyAlignment="1">
      <alignment horizontal="center" vertical="center"/>
    </xf>
    <xf numFmtId="0" fontId="5" fillId="26" borderId="61" xfId="0" applyFont="1" applyFill="1" applyBorder="1" applyAlignment="1">
      <alignment horizontal="center" vertical="center"/>
    </xf>
    <xf numFmtId="2" fontId="5" fillId="26" borderId="63" xfId="0" applyNumberFormat="1" applyFont="1" applyFill="1" applyBorder="1" applyAlignment="1">
      <alignment horizontal="center" vertical="center"/>
    </xf>
    <xf numFmtId="2" fontId="0" fillId="26" borderId="0" xfId="0" applyNumberFormat="1" applyFill="1" applyAlignment="1">
      <alignment horizontal="center" vertical="center"/>
    </xf>
    <xf numFmtId="21" fontId="0" fillId="26" borderId="59" xfId="0" applyNumberFormat="1" applyFill="1" applyBorder="1" applyAlignment="1">
      <alignment horizontal="center" vertical="center"/>
    </xf>
    <xf numFmtId="0" fontId="82" fillId="28" borderId="66" xfId="0" applyFont="1" applyFill="1" applyBorder="1" applyAlignment="1">
      <alignment horizontal="center"/>
    </xf>
    <xf numFmtId="37" fontId="83" fillId="29" borderId="67" xfId="0" applyNumberFormat="1" applyFont="1" applyFill="1" applyBorder="1" applyAlignment="1">
      <alignment horizontal="center"/>
    </xf>
    <xf numFmtId="0" fontId="84" fillId="30" borderId="68" xfId="0" applyFont="1" applyFill="1" applyBorder="1" applyAlignment="1">
      <alignment horizontal="left"/>
    </xf>
    <xf numFmtId="37" fontId="85" fillId="31" borderId="69" xfId="0" applyNumberFormat="1" applyFont="1" applyFill="1" applyBorder="1" applyAlignment="1">
      <alignment horizontal="center"/>
    </xf>
    <xf numFmtId="0" fontId="86" fillId="32" borderId="70" xfId="0" applyFont="1" applyFill="1" applyBorder="1" applyAlignment="1">
      <alignment horizontal="left"/>
    </xf>
    <xf numFmtId="37" fontId="87" fillId="33" borderId="71" xfId="0" applyNumberFormat="1" applyFont="1" applyFill="1" applyBorder="1" applyAlignment="1">
      <alignment horizontal="center"/>
    </xf>
    <xf numFmtId="0" fontId="88" fillId="34" borderId="72" xfId="0" applyFont="1" applyFill="1" applyBorder="1" applyAlignment="1">
      <alignment horizontal="left"/>
    </xf>
    <xf numFmtId="37" fontId="89" fillId="35" borderId="73" xfId="0" applyNumberFormat="1" applyFont="1" applyFill="1" applyBorder="1" applyAlignment="1">
      <alignment horizontal="center"/>
    </xf>
    <xf numFmtId="0" fontId="90" fillId="36" borderId="74" xfId="0" applyFont="1" applyFill="1" applyBorder="1" applyAlignment="1">
      <alignment horizontal="left"/>
    </xf>
    <xf numFmtId="37" fontId="91" fillId="37" borderId="75" xfId="0" applyNumberFormat="1" applyFont="1" applyFill="1" applyBorder="1" applyAlignment="1">
      <alignment horizontal="center"/>
    </xf>
    <xf numFmtId="0" fontId="92" fillId="38" borderId="76" xfId="0" applyFont="1" applyFill="1" applyBorder="1" applyAlignment="1">
      <alignment horizontal="left"/>
    </xf>
    <xf numFmtId="37" fontId="93" fillId="39" borderId="77" xfId="0" applyNumberFormat="1" applyFont="1" applyFill="1" applyBorder="1" applyAlignment="1">
      <alignment horizontal="center"/>
    </xf>
    <xf numFmtId="0" fontId="94" fillId="40" borderId="78" xfId="0" applyFont="1" applyFill="1" applyBorder="1" applyAlignment="1">
      <alignment horizontal="left"/>
    </xf>
    <xf numFmtId="37" fontId="95" fillId="41" borderId="79" xfId="0" applyNumberFormat="1" applyFont="1" applyFill="1" applyBorder="1" applyAlignment="1">
      <alignment horizontal="center"/>
    </xf>
    <xf numFmtId="0" fontId="96" fillId="42" borderId="80" xfId="0" applyFont="1" applyFill="1" applyBorder="1" applyAlignment="1">
      <alignment horizontal="left"/>
    </xf>
    <xf numFmtId="37" fontId="97" fillId="43" borderId="81" xfId="0" applyNumberFormat="1" applyFont="1" applyFill="1" applyBorder="1" applyAlignment="1">
      <alignment horizontal="center"/>
    </xf>
    <xf numFmtId="0" fontId="98" fillId="44" borderId="82" xfId="0" applyFont="1" applyFill="1" applyBorder="1" applyAlignment="1">
      <alignment horizontal="left"/>
    </xf>
    <xf numFmtId="37" fontId="99" fillId="45" borderId="83" xfId="0" applyNumberFormat="1" applyFont="1" applyFill="1" applyBorder="1" applyAlignment="1">
      <alignment horizontal="center"/>
    </xf>
    <xf numFmtId="0" fontId="100" fillId="46" borderId="84" xfId="0" applyFont="1" applyFill="1" applyBorder="1" applyAlignment="1">
      <alignment horizontal="left"/>
    </xf>
    <xf numFmtId="37" fontId="101" fillId="47" borderId="85" xfId="0" applyNumberFormat="1" applyFont="1" applyFill="1" applyBorder="1" applyAlignment="1">
      <alignment horizontal="center"/>
    </xf>
    <xf numFmtId="0" fontId="102" fillId="48" borderId="86" xfId="0" applyFont="1" applyFill="1" applyBorder="1" applyAlignment="1">
      <alignment horizontal="left"/>
    </xf>
    <xf numFmtId="37" fontId="103" fillId="49" borderId="87" xfId="0" applyNumberFormat="1" applyFont="1" applyFill="1" applyBorder="1" applyAlignment="1">
      <alignment horizontal="center"/>
    </xf>
    <xf numFmtId="0" fontId="104" fillId="50" borderId="88" xfId="0" applyFont="1" applyFill="1" applyBorder="1" applyAlignment="1">
      <alignment horizontal="left"/>
    </xf>
    <xf numFmtId="37" fontId="105" fillId="51" borderId="89" xfId="0" applyNumberFormat="1" applyFont="1" applyFill="1" applyBorder="1" applyAlignment="1">
      <alignment horizontal="center"/>
    </xf>
    <xf numFmtId="0" fontId="106" fillId="52" borderId="90" xfId="0" applyFont="1" applyFill="1" applyBorder="1" applyAlignment="1">
      <alignment horizontal="left"/>
    </xf>
    <xf numFmtId="37" fontId="107" fillId="53" borderId="91" xfId="0" applyNumberFormat="1" applyFont="1" applyFill="1" applyBorder="1" applyAlignment="1">
      <alignment horizontal="center"/>
    </xf>
    <xf numFmtId="0" fontId="108" fillId="54" borderId="92" xfId="0" applyFont="1" applyFill="1" applyBorder="1" applyAlignment="1">
      <alignment horizontal="left"/>
    </xf>
    <xf numFmtId="37" fontId="109" fillId="55" borderId="93" xfId="0" applyNumberFormat="1" applyFont="1" applyFill="1" applyBorder="1" applyAlignment="1">
      <alignment horizontal="center"/>
    </xf>
    <xf numFmtId="0" fontId="110" fillId="56" borderId="94" xfId="0" applyFont="1" applyFill="1" applyBorder="1" applyAlignment="1">
      <alignment horizontal="left"/>
    </xf>
    <xf numFmtId="37" fontId="111" fillId="57" borderId="95" xfId="0" applyNumberFormat="1" applyFont="1" applyFill="1" applyBorder="1" applyAlignment="1">
      <alignment horizontal="center"/>
    </xf>
    <xf numFmtId="0" fontId="112" fillId="58" borderId="96" xfId="0" applyFont="1" applyFill="1" applyBorder="1" applyAlignment="1">
      <alignment horizontal="left"/>
    </xf>
    <xf numFmtId="37" fontId="113" fillId="59" borderId="97" xfId="0" applyNumberFormat="1" applyFont="1" applyFill="1" applyBorder="1" applyAlignment="1">
      <alignment horizontal="center"/>
    </xf>
    <xf numFmtId="0" fontId="114" fillId="60" borderId="98" xfId="0" applyFont="1" applyFill="1" applyBorder="1" applyAlignment="1">
      <alignment horizontal="center"/>
    </xf>
    <xf numFmtId="0" fontId="115" fillId="61" borderId="99" xfId="0" applyFont="1" applyFill="1" applyBorder="1" applyAlignment="1">
      <alignment horizontal="center"/>
    </xf>
    <xf numFmtId="0" fontId="116" fillId="62" borderId="100" xfId="0" applyFont="1" applyFill="1" applyBorder="1"/>
    <xf numFmtId="37" fontId="117" fillId="63" borderId="101" xfId="0" applyNumberFormat="1" applyFont="1" applyFill="1" applyBorder="1" applyAlignment="1">
      <alignment horizontal="center"/>
    </xf>
    <xf numFmtId="0" fontId="118" fillId="64" borderId="102" xfId="0" applyFont="1" applyFill="1" applyBorder="1"/>
    <xf numFmtId="37" fontId="119" fillId="65" borderId="103" xfId="0" applyNumberFormat="1" applyFont="1" applyFill="1" applyBorder="1" applyAlignment="1">
      <alignment horizontal="center"/>
    </xf>
    <xf numFmtId="0" fontId="120" fillId="66" borderId="104" xfId="0" applyFont="1" applyFill="1" applyBorder="1"/>
    <xf numFmtId="37" fontId="121" fillId="67" borderId="105" xfId="0" applyNumberFormat="1" applyFont="1" applyFill="1" applyBorder="1" applyAlignment="1">
      <alignment horizontal="center"/>
    </xf>
    <xf numFmtId="0" fontId="122" fillId="68" borderId="106" xfId="0" applyFont="1" applyFill="1" applyBorder="1"/>
    <xf numFmtId="37" fontId="123" fillId="69" borderId="107" xfId="0" applyNumberFormat="1" applyFont="1" applyFill="1" applyBorder="1" applyAlignment="1">
      <alignment horizontal="center"/>
    </xf>
    <xf numFmtId="0" fontId="124" fillId="70" borderId="108" xfId="0" applyFont="1" applyFill="1" applyBorder="1"/>
    <xf numFmtId="37" fontId="125" fillId="71" borderId="109" xfId="0" applyNumberFormat="1" applyFont="1" applyFill="1" applyBorder="1" applyAlignment="1">
      <alignment horizontal="center"/>
    </xf>
    <xf numFmtId="0" fontId="126" fillId="72" borderId="110" xfId="0" applyFont="1" applyFill="1" applyBorder="1"/>
    <xf numFmtId="37" fontId="127" fillId="73" borderId="111" xfId="0" applyNumberFormat="1" applyFont="1" applyFill="1" applyBorder="1" applyAlignment="1">
      <alignment horizontal="center"/>
    </xf>
    <xf numFmtId="0" fontId="128" fillId="74" borderId="112" xfId="0" applyFont="1" applyFill="1" applyBorder="1"/>
    <xf numFmtId="37" fontId="129" fillId="75" borderId="113" xfId="0" applyNumberFormat="1" applyFont="1" applyFill="1" applyBorder="1" applyAlignment="1">
      <alignment horizontal="center"/>
    </xf>
    <xf numFmtId="0" fontId="130" fillId="76" borderId="114" xfId="0" applyFont="1" applyFill="1" applyBorder="1" applyAlignment="1">
      <alignment horizontal="center"/>
    </xf>
    <xf numFmtId="0" fontId="131" fillId="77" borderId="115" xfId="0" applyFont="1" applyFill="1" applyBorder="1" applyAlignment="1">
      <alignment horizontal="center"/>
    </xf>
    <xf numFmtId="0" fontId="132" fillId="78" borderId="116" xfId="0" applyFont="1" applyFill="1" applyBorder="1" applyAlignment="1">
      <alignment horizontal="center" vertical="center"/>
    </xf>
    <xf numFmtId="37" fontId="133" fillId="79" borderId="117" xfId="0" applyNumberFormat="1" applyFont="1" applyFill="1" applyBorder="1" applyAlignment="1">
      <alignment horizontal="center" vertical="center"/>
    </xf>
    <xf numFmtId="0" fontId="134" fillId="80" borderId="118" xfId="0" applyFont="1" applyFill="1" applyBorder="1" applyAlignment="1">
      <alignment horizontal="center" vertical="center"/>
    </xf>
    <xf numFmtId="37" fontId="135" fillId="81" borderId="119" xfId="0" applyNumberFormat="1" applyFont="1" applyFill="1" applyBorder="1" applyAlignment="1">
      <alignment horizontal="center" vertical="center"/>
    </xf>
    <xf numFmtId="0" fontId="136" fillId="82" borderId="120" xfId="0" applyFont="1" applyFill="1" applyBorder="1" applyAlignment="1">
      <alignment horizontal="center" vertical="center"/>
    </xf>
    <xf numFmtId="37" fontId="137" fillId="83" borderId="121" xfId="0" applyNumberFormat="1" applyFont="1" applyFill="1" applyBorder="1" applyAlignment="1">
      <alignment horizontal="center" vertical="center"/>
    </xf>
    <xf numFmtId="0" fontId="138" fillId="84" borderId="122" xfId="0" applyFont="1" applyFill="1" applyBorder="1"/>
    <xf numFmtId="1" fontId="139" fillId="85" borderId="123" xfId="0" applyNumberFormat="1" applyFont="1" applyFill="1" applyBorder="1"/>
    <xf numFmtId="1" fontId="140" fillId="86" borderId="124" xfId="0" applyNumberFormat="1" applyFont="1" applyFill="1" applyBorder="1"/>
    <xf numFmtId="2" fontId="141" fillId="87" borderId="125" xfId="0" applyNumberFormat="1" applyFont="1" applyFill="1" applyBorder="1"/>
    <xf numFmtId="0" fontId="142" fillId="88" borderId="126" xfId="0" applyFont="1" applyFill="1" applyBorder="1"/>
    <xf numFmtId="1" fontId="143" fillId="89" borderId="127" xfId="0" applyNumberFormat="1" applyFont="1" applyFill="1" applyBorder="1"/>
    <xf numFmtId="1" fontId="144" fillId="90" borderId="128" xfId="0" applyNumberFormat="1" applyFont="1" applyFill="1" applyBorder="1"/>
    <xf numFmtId="2" fontId="145" fillId="91" borderId="129" xfId="0" applyNumberFormat="1" applyFont="1" applyFill="1" applyBorder="1"/>
    <xf numFmtId="0" fontId="146" fillId="92" borderId="130" xfId="0" applyFont="1" applyFill="1" applyBorder="1"/>
    <xf numFmtId="1" fontId="147" fillId="93" borderId="131" xfId="0" applyNumberFormat="1" applyFont="1" applyFill="1" applyBorder="1"/>
    <xf numFmtId="1" fontId="148" fillId="94" borderId="132" xfId="0" applyNumberFormat="1" applyFont="1" applyFill="1" applyBorder="1"/>
    <xf numFmtId="2" fontId="149" fillId="95" borderId="133" xfId="0" applyNumberFormat="1" applyFont="1" applyFill="1" applyBorder="1"/>
    <xf numFmtId="0" fontId="150" fillId="96" borderId="134" xfId="0" applyFont="1" applyFill="1" applyBorder="1"/>
    <xf numFmtId="1" fontId="151" fillId="97" borderId="135" xfId="0" applyNumberFormat="1" applyFont="1" applyFill="1" applyBorder="1"/>
    <xf numFmtId="1" fontId="152" fillId="98" borderId="136" xfId="0" applyNumberFormat="1" applyFont="1" applyFill="1" applyBorder="1"/>
    <xf numFmtId="2" fontId="153" fillId="99" borderId="137" xfId="0" applyNumberFormat="1" applyFont="1" applyFill="1" applyBorder="1"/>
    <xf numFmtId="0" fontId="154" fillId="100" borderId="138" xfId="0" applyFont="1" applyFill="1" applyBorder="1"/>
    <xf numFmtId="1" fontId="155" fillId="101" borderId="139" xfId="0" applyNumberFormat="1" applyFont="1" applyFill="1" applyBorder="1"/>
    <xf numFmtId="1" fontId="156" fillId="102" borderId="140" xfId="0" applyNumberFormat="1" applyFont="1" applyFill="1" applyBorder="1"/>
    <xf numFmtId="2" fontId="157" fillId="103" borderId="141" xfId="0" applyNumberFormat="1" applyFont="1" applyFill="1" applyBorder="1"/>
    <xf numFmtId="0" fontId="158" fillId="104" borderId="142" xfId="0" applyFont="1" applyFill="1" applyBorder="1"/>
    <xf numFmtId="1" fontId="159" fillId="105" borderId="143" xfId="0" applyNumberFormat="1" applyFont="1" applyFill="1" applyBorder="1"/>
    <xf numFmtId="1" fontId="160" fillId="106" borderId="144" xfId="0" applyNumberFormat="1" applyFont="1" applyFill="1" applyBorder="1"/>
    <xf numFmtId="2" fontId="161" fillId="107" borderId="145" xfId="0" applyNumberFormat="1" applyFont="1" applyFill="1" applyBorder="1"/>
    <xf numFmtId="0" fontId="162" fillId="108" borderId="146" xfId="0" applyFont="1" applyFill="1" applyBorder="1"/>
    <xf numFmtId="1" fontId="163" fillId="109" borderId="147" xfId="0" applyNumberFormat="1" applyFont="1" applyFill="1" applyBorder="1"/>
    <xf numFmtId="1" fontId="164" fillId="110" borderId="148" xfId="0" applyNumberFormat="1" applyFont="1" applyFill="1" applyBorder="1"/>
    <xf numFmtId="2" fontId="165" fillId="111" borderId="149" xfId="0" applyNumberFormat="1" applyFont="1" applyFill="1" applyBorder="1"/>
    <xf numFmtId="0" fontId="166" fillId="112" borderId="150" xfId="0" applyFont="1" applyFill="1" applyBorder="1"/>
    <xf numFmtId="1" fontId="167" fillId="113" borderId="151" xfId="0" applyNumberFormat="1" applyFont="1" applyFill="1" applyBorder="1"/>
    <xf numFmtId="1" fontId="168" fillId="114" borderId="152" xfId="0" applyNumberFormat="1" applyFont="1" applyFill="1" applyBorder="1"/>
    <xf numFmtId="2" fontId="169" fillId="115" borderId="153" xfId="0" applyNumberFormat="1" applyFont="1" applyFill="1" applyBorder="1"/>
    <xf numFmtId="0" fontId="170" fillId="116" borderId="154" xfId="0" applyFont="1" applyFill="1" applyBorder="1"/>
    <xf numFmtId="1" fontId="171" fillId="117" borderId="155" xfId="0" applyNumberFormat="1" applyFont="1" applyFill="1" applyBorder="1"/>
    <xf numFmtId="1" fontId="172" fillId="118" borderId="156" xfId="0" applyNumberFormat="1" applyFont="1" applyFill="1" applyBorder="1"/>
    <xf numFmtId="2" fontId="173" fillId="119" borderId="157" xfId="0" applyNumberFormat="1" applyFont="1" applyFill="1" applyBorder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0" fillId="0" borderId="157" xfId="0" applyBorder="1"/>
    <xf numFmtId="3" fontId="0" fillId="0" borderId="157" xfId="0" applyNumberFormat="1" applyBorder="1"/>
    <xf numFmtId="0" fontId="7" fillId="0" borderId="0" xfId="0" applyFont="1" applyAlignment="1">
      <alignment vertical="center"/>
    </xf>
    <xf numFmtId="3" fontId="9" fillId="0" borderId="0" xfId="0" applyNumberFormat="1" applyFont="1"/>
    <xf numFmtId="0" fontId="5" fillId="0" borderId="157" xfId="0" applyFont="1" applyBorder="1"/>
    <xf numFmtId="0" fontId="6" fillId="0" borderId="157" xfId="0" applyFont="1" applyBorder="1" applyAlignment="1">
      <alignment horizontal="right"/>
    </xf>
    <xf numFmtId="3" fontId="6" fillId="0" borderId="157" xfId="0" applyNumberFormat="1" applyFont="1" applyBorder="1" applyAlignment="1">
      <alignment horizontal="right"/>
    </xf>
    <xf numFmtId="3" fontId="9" fillId="0" borderId="157" xfId="0" applyNumberFormat="1" applyFont="1" applyBorder="1"/>
    <xf numFmtId="3" fontId="8" fillId="0" borderId="157" xfId="0" applyNumberFormat="1" applyFont="1" applyBorder="1"/>
    <xf numFmtId="3" fontId="12" fillId="0" borderId="157" xfId="0" applyNumberFormat="1" applyFont="1" applyBorder="1"/>
    <xf numFmtId="0" fontId="0" fillId="0" borderId="157" xfId="0" applyBorder="1" applyAlignment="1">
      <alignment horizontal="center"/>
    </xf>
    <xf numFmtId="0" fontId="8" fillId="0" borderId="157" xfId="0" applyFont="1" applyBorder="1"/>
    <xf numFmtId="3" fontId="12" fillId="0" borderId="157" xfId="0" applyNumberFormat="1" applyFont="1" applyBorder="1" applyAlignment="1">
      <alignment vertical="center"/>
    </xf>
    <xf numFmtId="17" fontId="20" fillId="3" borderId="35" xfId="0" applyNumberFormat="1" applyFont="1" applyFill="1" applyBorder="1" applyAlignment="1">
      <alignment horizontal="center" vertical="center" wrapText="1" readingOrder="1"/>
    </xf>
    <xf numFmtId="17" fontId="20" fillId="3" borderId="36" xfId="0" applyNumberFormat="1" applyFont="1" applyFill="1" applyBorder="1" applyAlignment="1">
      <alignment horizontal="center" vertical="center" wrapText="1" readingOrder="1"/>
    </xf>
    <xf numFmtId="0" fontId="0" fillId="4" borderId="24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8" fillId="5" borderId="0" xfId="0" applyFont="1" applyFill="1" applyAlignment="1">
      <alignment horizontal="center" vertical="center"/>
    </xf>
    <xf numFmtId="0" fontId="5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37" fontId="76" fillId="0" borderId="6" xfId="0" applyNumberFormat="1" applyFont="1" applyBorder="1" applyAlignment="1">
      <alignment horizontal="center" vertical="center"/>
    </xf>
    <xf numFmtId="37" fontId="76" fillId="0" borderId="2" xfId="0" applyNumberFormat="1" applyFont="1" applyBorder="1" applyAlignment="1">
      <alignment horizontal="center" vertical="center"/>
    </xf>
    <xf numFmtId="37" fontId="76" fillId="0" borderId="34" xfId="0" applyNumberFormat="1" applyFont="1" applyBorder="1" applyAlignment="1">
      <alignment horizontal="center" vertical="center"/>
    </xf>
    <xf numFmtId="37" fontId="76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59" fillId="7" borderId="0" xfId="0" applyFont="1" applyFill="1" applyAlignment="1">
      <alignment horizontal="center" vertical="top" wrapText="1"/>
    </xf>
    <xf numFmtId="0" fontId="59" fillId="7" borderId="0" xfId="0" applyFont="1" applyFill="1" applyAlignment="1">
      <alignment horizontal="center"/>
    </xf>
    <xf numFmtId="0" fontId="57" fillId="0" borderId="13" xfId="0" applyFont="1" applyBorder="1" applyAlignment="1">
      <alignment horizontal="left" vertical="center" wrapText="1"/>
    </xf>
    <xf numFmtId="0" fontId="57" fillId="0" borderId="19" xfId="0" applyFont="1" applyBorder="1" applyAlignment="1">
      <alignment horizontal="left" vertical="center" wrapText="1"/>
    </xf>
    <xf numFmtId="0" fontId="57" fillId="0" borderId="14" xfId="0" applyFont="1" applyBorder="1" applyAlignment="1">
      <alignment horizontal="left" vertical="center" wrapText="1"/>
    </xf>
    <xf numFmtId="0" fontId="57" fillId="0" borderId="22" xfId="0" applyFont="1" applyBorder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57" fillId="0" borderId="30" xfId="0" applyFont="1" applyBorder="1" applyAlignment="1">
      <alignment horizontal="left" vertical="center" wrapText="1"/>
    </xf>
    <xf numFmtId="0" fontId="57" fillId="0" borderId="23" xfId="0" applyFont="1" applyBorder="1" applyAlignment="1">
      <alignment horizontal="left" vertical="center" wrapText="1"/>
    </xf>
    <xf numFmtId="0" fontId="57" fillId="0" borderId="31" xfId="0" applyFont="1" applyBorder="1" applyAlignment="1">
      <alignment horizontal="left" vertical="center" wrapText="1"/>
    </xf>
    <xf numFmtId="0" fontId="57" fillId="0" borderId="4" xfId="0" applyFont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7">
    <cellStyle name="Comma" xfId="4" builtinId="3"/>
    <cellStyle name="Comma 2" xfId="6" xr:uid="{7D79CA3D-FE66-439E-A44C-FB6A55E49594}"/>
    <cellStyle name="Normal" xfId="0" builtinId="0"/>
    <cellStyle name="Normal 2" xfId="1" xr:uid="{00000000-0005-0000-0000-000002000000}"/>
    <cellStyle name="Normal 3" xfId="3" xr:uid="{00000000-0005-0000-0000-000003000000}"/>
    <cellStyle name="Normal 4" xfId="5" xr:uid="{3C657443-50E6-47FD-A6B8-7C2ABF393C59}"/>
    <cellStyle name="Percent" xfId="2" builtinId="5"/>
  </cellStyles>
  <dxfs count="19"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169" formatCode="_ * #,##0_ ;_ * \-#,##0_ ;_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169" formatCode="_ * #,##0_ ;_ * \-#,##0_ ;_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26" formatCode="hh:mm:ss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169" formatCode="_ * #,##0_ ;_ * \-#,##0_ ;_ * &quot;-&quot;??_ ;_ @_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169" formatCode="_ * #,##0_ ;_ * \-#,##0_ ;_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26" formatCode="hh:mm:ss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3014553014553017E-2"/>
          <c:y val="0.13664628877912507"/>
          <c:w val="0.92619542619544148"/>
          <c:h val="0.38819934643000659"/>
        </c:manualLayout>
      </c:layout>
      <c:lineChart>
        <c:grouping val="standard"/>
        <c:varyColors val="0"/>
        <c:ser>
          <c:idx val="0"/>
          <c:order val="0"/>
          <c:tx>
            <c:strRef>
              <c:f>'Site - Month Graph'!$D$3</c:f>
              <c:strCache>
                <c:ptCount val="1"/>
                <c:pt idx="0">
                  <c:v>Page Views(Overall)</c:v>
                </c:pt>
              </c:strCache>
            </c:strRef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dLbl>
              <c:idx val="30"/>
              <c:numFmt formatCode="[&gt;=10000000]##\,##\,##\,##0;[&gt;=100000]\ ##\,##\,##0;##,##0" sourceLinked="0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ysDash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525" b="0" i="0" u="none" strike="noStrike" baseline="0">
                      <a:solidFill>
                        <a:srgbClr val="000000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0EE-4DFE-8DB2-032C9843EDE8}"/>
                </c:ext>
              </c:extLst>
            </c:dLbl>
            <c:numFmt formatCode="[&gt;=10000000]##\,##\,##\,##0;[&gt;=100000]\ ##\,##\,##0;##,##0" sourceLinked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ysDash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675" b="0" i="0" u="none" strike="noStrike" baseline="0">
                    <a:solidFill>
                      <a:srgbClr val="000000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'Site - Month Graph'!$C$4:$C$34</c:f>
              <c:strCache>
                <c:ptCount val="31"/>
                <c:pt idx="0">
                  <c:v>01-10-2025</c:v>
                </c:pt>
                <c:pt idx="1">
                  <c:v>02-10-2025</c:v>
                </c:pt>
                <c:pt idx="2">
                  <c:v>03-10-2025</c:v>
                </c:pt>
                <c:pt idx="3">
                  <c:v>04-10-2025</c:v>
                </c:pt>
                <c:pt idx="4">
                  <c:v>05-10-2025</c:v>
                </c:pt>
                <c:pt idx="5">
                  <c:v>06-10-2025</c:v>
                </c:pt>
                <c:pt idx="6">
                  <c:v>07-10-2025</c:v>
                </c:pt>
                <c:pt idx="7">
                  <c:v>08-10-2025</c:v>
                </c:pt>
                <c:pt idx="8">
                  <c:v>09-10-2025</c:v>
                </c:pt>
                <c:pt idx="9">
                  <c:v>10-10-2025</c:v>
                </c:pt>
                <c:pt idx="10">
                  <c:v>11-10-2025</c:v>
                </c:pt>
                <c:pt idx="11">
                  <c:v>12-10-2025</c:v>
                </c:pt>
                <c:pt idx="12">
                  <c:v>13-10-2025</c:v>
                </c:pt>
                <c:pt idx="13">
                  <c:v>14-10-2025</c:v>
                </c:pt>
                <c:pt idx="14">
                  <c:v>15-10-2025</c:v>
                </c:pt>
                <c:pt idx="15">
                  <c:v>16-10-2025</c:v>
                </c:pt>
                <c:pt idx="16">
                  <c:v>17-10-2025</c:v>
                </c:pt>
                <c:pt idx="17">
                  <c:v>18-10-2025</c:v>
                </c:pt>
                <c:pt idx="18">
                  <c:v>19-10-2025</c:v>
                </c:pt>
                <c:pt idx="19">
                  <c:v>20-10-2025</c:v>
                </c:pt>
                <c:pt idx="20">
                  <c:v>21-10-2025</c:v>
                </c:pt>
                <c:pt idx="21">
                  <c:v>22-10-2025</c:v>
                </c:pt>
                <c:pt idx="22">
                  <c:v>23-10-2025</c:v>
                </c:pt>
                <c:pt idx="23">
                  <c:v>24-10-2025</c:v>
                </c:pt>
                <c:pt idx="24">
                  <c:v>25-10-2025</c:v>
                </c:pt>
                <c:pt idx="25">
                  <c:v>26-10-2025</c:v>
                </c:pt>
                <c:pt idx="26">
                  <c:v>27-10-2025</c:v>
                </c:pt>
                <c:pt idx="27">
                  <c:v>28-10-2025</c:v>
                </c:pt>
                <c:pt idx="28">
                  <c:v>29-10-2025</c:v>
                </c:pt>
                <c:pt idx="29">
                  <c:v>30-10-2025</c:v>
                </c:pt>
                <c:pt idx="30">
                  <c:v>31-10-2025</c:v>
                </c:pt>
              </c:strCache>
            </c:strRef>
          </c:cat>
          <c:val>
            <c:numRef>
              <c:f>'Site - Month Graph'!$D$4:$D$34</c:f>
              <c:numCache>
                <c:formatCode>General</c:formatCode>
                <c:ptCount val="31"/>
                <c:pt idx="0">
                  <c:v>126565</c:v>
                </c:pt>
                <c:pt idx="1">
                  <c:v>130057</c:v>
                </c:pt>
                <c:pt idx="2">
                  <c:v>138605</c:v>
                </c:pt>
                <c:pt idx="3">
                  <c:v>142086</c:v>
                </c:pt>
                <c:pt idx="4">
                  <c:v>135770</c:v>
                </c:pt>
                <c:pt idx="5">
                  <c:v>147871</c:v>
                </c:pt>
                <c:pt idx="6">
                  <c:v>138958</c:v>
                </c:pt>
                <c:pt idx="7">
                  <c:v>131119</c:v>
                </c:pt>
                <c:pt idx="8">
                  <c:v>128450</c:v>
                </c:pt>
                <c:pt idx="9">
                  <c:v>125979</c:v>
                </c:pt>
                <c:pt idx="10">
                  <c:v>121732</c:v>
                </c:pt>
                <c:pt idx="11">
                  <c:v>116690</c:v>
                </c:pt>
                <c:pt idx="12">
                  <c:v>118494</c:v>
                </c:pt>
                <c:pt idx="13">
                  <c:v>118105</c:v>
                </c:pt>
                <c:pt idx="14">
                  <c:v>121933</c:v>
                </c:pt>
                <c:pt idx="15">
                  <c:v>124581</c:v>
                </c:pt>
                <c:pt idx="16">
                  <c:v>120926</c:v>
                </c:pt>
                <c:pt idx="17">
                  <c:v>117065</c:v>
                </c:pt>
                <c:pt idx="18">
                  <c:v>120535</c:v>
                </c:pt>
                <c:pt idx="19">
                  <c:v>103954</c:v>
                </c:pt>
                <c:pt idx="20">
                  <c:v>118972</c:v>
                </c:pt>
                <c:pt idx="21">
                  <c:v>134400</c:v>
                </c:pt>
                <c:pt idx="22">
                  <c:v>138516</c:v>
                </c:pt>
                <c:pt idx="23">
                  <c:v>139585</c:v>
                </c:pt>
                <c:pt idx="24">
                  <c:v>138583</c:v>
                </c:pt>
                <c:pt idx="25">
                  <c:v>138184</c:v>
                </c:pt>
                <c:pt idx="26">
                  <c:v>137625</c:v>
                </c:pt>
                <c:pt idx="27">
                  <c:v>125614</c:v>
                </c:pt>
                <c:pt idx="28">
                  <c:v>121587</c:v>
                </c:pt>
                <c:pt idx="29">
                  <c:v>117554</c:v>
                </c:pt>
                <c:pt idx="30">
                  <c:v>113514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1AB-4AF0-9D2E-9C08F3319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373079808"/>
        <c:axId val="373081376"/>
      </c:lineChart>
      <c:dateAx>
        <c:axId val="373079808"/>
        <c:scaling>
          <c:orientation val="minMax"/>
        </c:scaling>
        <c:delete val="0"/>
        <c:axPos val="b"/>
        <c:numFmt formatCode="mmm\,\ dd\ d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73081376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73081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75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7307980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9556154451822196E-2"/>
          <c:y val="6.6753567568759803E-2"/>
          <c:w val="0.92578539680651861"/>
          <c:h val="0.57986307733520004"/>
        </c:manualLayout>
      </c:layout>
      <c:lineChart>
        <c:grouping val="standard"/>
        <c:varyColors val="0"/>
        <c:ser>
          <c:idx val="0"/>
          <c:order val="0"/>
          <c:tx>
            <c:strRef>
              <c:f>'Site - Month Graph'!$E$44</c:f>
              <c:strCache>
                <c:ptCount val="1"/>
                <c:pt idx="0">
                  <c:v>Unique Visit(Mobile)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numFmt formatCode="[&gt;=10000000]##\,##\,##\,##0;[&gt;=100000]\ ##\,##\,##0;##,##0" sourceLinked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ysDash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700" b="0" i="0" u="none" strike="noStrike" baseline="0">
                    <a:solidFill>
                      <a:srgbClr val="000000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'Site - Month Graph'!$C$45:$C$75</c:f>
              <c:strCache>
                <c:ptCount val="31"/>
                <c:pt idx="0">
                  <c:v>01-10-2025</c:v>
                </c:pt>
                <c:pt idx="1">
                  <c:v>02-10-2025</c:v>
                </c:pt>
                <c:pt idx="2">
                  <c:v>03-10-2025</c:v>
                </c:pt>
                <c:pt idx="3">
                  <c:v>04-10-2025</c:v>
                </c:pt>
                <c:pt idx="4">
                  <c:v>05-10-2025</c:v>
                </c:pt>
                <c:pt idx="5">
                  <c:v>06-10-2025</c:v>
                </c:pt>
                <c:pt idx="6">
                  <c:v>07-10-2025</c:v>
                </c:pt>
                <c:pt idx="7">
                  <c:v>08-10-2025</c:v>
                </c:pt>
                <c:pt idx="8">
                  <c:v>09-10-2025</c:v>
                </c:pt>
                <c:pt idx="9">
                  <c:v>10-10-2025</c:v>
                </c:pt>
                <c:pt idx="10">
                  <c:v>11-10-2025</c:v>
                </c:pt>
                <c:pt idx="11">
                  <c:v>12-10-2025</c:v>
                </c:pt>
                <c:pt idx="12">
                  <c:v>13-10-2025</c:v>
                </c:pt>
                <c:pt idx="13">
                  <c:v>14-10-2025</c:v>
                </c:pt>
                <c:pt idx="14">
                  <c:v>15-10-2025</c:v>
                </c:pt>
                <c:pt idx="15">
                  <c:v>16-10-2025</c:v>
                </c:pt>
                <c:pt idx="16">
                  <c:v>17-10-2025</c:v>
                </c:pt>
                <c:pt idx="17">
                  <c:v>18-10-2025</c:v>
                </c:pt>
                <c:pt idx="18">
                  <c:v>19-10-2025</c:v>
                </c:pt>
                <c:pt idx="19">
                  <c:v>20-10-2025</c:v>
                </c:pt>
                <c:pt idx="20">
                  <c:v>21-10-2025</c:v>
                </c:pt>
                <c:pt idx="21">
                  <c:v>22-10-2025</c:v>
                </c:pt>
                <c:pt idx="22">
                  <c:v>23-10-2025</c:v>
                </c:pt>
                <c:pt idx="23">
                  <c:v>24-10-2025</c:v>
                </c:pt>
                <c:pt idx="24">
                  <c:v>25-10-2025</c:v>
                </c:pt>
                <c:pt idx="25">
                  <c:v>26-10-2025</c:v>
                </c:pt>
                <c:pt idx="26">
                  <c:v>27-10-2025</c:v>
                </c:pt>
                <c:pt idx="27">
                  <c:v>28-10-2025</c:v>
                </c:pt>
                <c:pt idx="28">
                  <c:v>29-10-2025</c:v>
                </c:pt>
                <c:pt idx="29">
                  <c:v>30-10-2025</c:v>
                </c:pt>
                <c:pt idx="30">
                  <c:v>31-10-2025</c:v>
                </c:pt>
              </c:strCache>
            </c:strRef>
          </c:cat>
          <c:val>
            <c:numRef>
              <c:f>'Site - Month Graph'!$E$45:$E$75</c:f>
              <c:numCache>
                <c:formatCode>General</c:formatCode>
                <c:ptCount val="31"/>
                <c:pt idx="0">
                  <c:v>45356</c:v>
                </c:pt>
                <c:pt idx="1">
                  <c:v>49077</c:v>
                </c:pt>
                <c:pt idx="2">
                  <c:v>51027</c:v>
                </c:pt>
                <c:pt idx="3">
                  <c:v>52729</c:v>
                </c:pt>
                <c:pt idx="4">
                  <c:v>52795</c:v>
                </c:pt>
                <c:pt idx="5">
                  <c:v>55545</c:v>
                </c:pt>
                <c:pt idx="6">
                  <c:v>52016</c:v>
                </c:pt>
                <c:pt idx="7">
                  <c:v>45619</c:v>
                </c:pt>
                <c:pt idx="8">
                  <c:v>44003</c:v>
                </c:pt>
                <c:pt idx="9">
                  <c:v>44240</c:v>
                </c:pt>
                <c:pt idx="10">
                  <c:v>42716</c:v>
                </c:pt>
                <c:pt idx="11">
                  <c:v>41834</c:v>
                </c:pt>
                <c:pt idx="12">
                  <c:v>39241</c:v>
                </c:pt>
                <c:pt idx="13">
                  <c:v>40453</c:v>
                </c:pt>
                <c:pt idx="14">
                  <c:v>43973</c:v>
                </c:pt>
                <c:pt idx="15">
                  <c:v>43515</c:v>
                </c:pt>
                <c:pt idx="16">
                  <c:v>42509</c:v>
                </c:pt>
                <c:pt idx="17">
                  <c:v>41344</c:v>
                </c:pt>
                <c:pt idx="18">
                  <c:v>44374</c:v>
                </c:pt>
                <c:pt idx="19">
                  <c:v>38054</c:v>
                </c:pt>
                <c:pt idx="20">
                  <c:v>44326</c:v>
                </c:pt>
                <c:pt idx="21">
                  <c:v>49138</c:v>
                </c:pt>
                <c:pt idx="22">
                  <c:v>50146</c:v>
                </c:pt>
                <c:pt idx="23">
                  <c:v>51980</c:v>
                </c:pt>
                <c:pt idx="24">
                  <c:v>53473</c:v>
                </c:pt>
                <c:pt idx="25">
                  <c:v>54650</c:v>
                </c:pt>
                <c:pt idx="26">
                  <c:v>50002</c:v>
                </c:pt>
                <c:pt idx="27">
                  <c:v>44403</c:v>
                </c:pt>
                <c:pt idx="28">
                  <c:v>43418</c:v>
                </c:pt>
                <c:pt idx="29">
                  <c:v>41852</c:v>
                </c:pt>
                <c:pt idx="30">
                  <c:v>41991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57-449A-984C-49C991574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50090952"/>
        <c:axId val="450091344"/>
      </c:lineChart>
      <c:dateAx>
        <c:axId val="450090952"/>
        <c:scaling>
          <c:orientation val="minMax"/>
        </c:scaling>
        <c:delete val="0"/>
        <c:axPos val="b"/>
        <c:numFmt formatCode="mmm\,\ dd\ d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450091344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450091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4500909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099426507599491E-2"/>
          <c:y val="8.9388705444077551E-2"/>
          <c:w val="0.92578539680651861"/>
          <c:h val="0.57986307733520004"/>
        </c:manualLayout>
      </c:layout>
      <c:lineChart>
        <c:grouping val="standard"/>
        <c:varyColors val="0"/>
        <c:ser>
          <c:idx val="0"/>
          <c:order val="0"/>
          <c:tx>
            <c:strRef>
              <c:f>'Site - Month Graph'!$D$44</c:f>
              <c:strCache>
                <c:ptCount val="1"/>
                <c:pt idx="0">
                  <c:v>Unique Visit(Overall)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numFmt formatCode="[&gt;=10000000]##\,##\,##\,##0;[&gt;=100000]\ ##\,##\,##0;##,##0" sourceLinked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ysDash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700" b="0" i="0" u="none" strike="noStrike" baseline="0">
                    <a:solidFill>
                      <a:srgbClr val="000000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'Site - Month Graph'!$C$45:$C$75</c:f>
              <c:strCache>
                <c:ptCount val="31"/>
                <c:pt idx="0">
                  <c:v>01-10-2025</c:v>
                </c:pt>
                <c:pt idx="1">
                  <c:v>02-10-2025</c:v>
                </c:pt>
                <c:pt idx="2">
                  <c:v>03-10-2025</c:v>
                </c:pt>
                <c:pt idx="3">
                  <c:v>04-10-2025</c:v>
                </c:pt>
                <c:pt idx="4">
                  <c:v>05-10-2025</c:v>
                </c:pt>
                <c:pt idx="5">
                  <c:v>06-10-2025</c:v>
                </c:pt>
                <c:pt idx="6">
                  <c:v>07-10-2025</c:v>
                </c:pt>
                <c:pt idx="7">
                  <c:v>08-10-2025</c:v>
                </c:pt>
                <c:pt idx="8">
                  <c:v>09-10-2025</c:v>
                </c:pt>
                <c:pt idx="9">
                  <c:v>10-10-2025</c:v>
                </c:pt>
                <c:pt idx="10">
                  <c:v>11-10-2025</c:v>
                </c:pt>
                <c:pt idx="11">
                  <c:v>12-10-2025</c:v>
                </c:pt>
                <c:pt idx="12">
                  <c:v>13-10-2025</c:v>
                </c:pt>
                <c:pt idx="13">
                  <c:v>14-10-2025</c:v>
                </c:pt>
                <c:pt idx="14">
                  <c:v>15-10-2025</c:v>
                </c:pt>
                <c:pt idx="15">
                  <c:v>16-10-2025</c:v>
                </c:pt>
                <c:pt idx="16">
                  <c:v>17-10-2025</c:v>
                </c:pt>
                <c:pt idx="17">
                  <c:v>18-10-2025</c:v>
                </c:pt>
                <c:pt idx="18">
                  <c:v>19-10-2025</c:v>
                </c:pt>
                <c:pt idx="19">
                  <c:v>20-10-2025</c:v>
                </c:pt>
                <c:pt idx="20">
                  <c:v>21-10-2025</c:v>
                </c:pt>
                <c:pt idx="21">
                  <c:v>22-10-2025</c:v>
                </c:pt>
                <c:pt idx="22">
                  <c:v>23-10-2025</c:v>
                </c:pt>
                <c:pt idx="23">
                  <c:v>24-10-2025</c:v>
                </c:pt>
                <c:pt idx="24">
                  <c:v>25-10-2025</c:v>
                </c:pt>
                <c:pt idx="25">
                  <c:v>26-10-2025</c:v>
                </c:pt>
                <c:pt idx="26">
                  <c:v>27-10-2025</c:v>
                </c:pt>
                <c:pt idx="27">
                  <c:v>28-10-2025</c:v>
                </c:pt>
                <c:pt idx="28">
                  <c:v>29-10-2025</c:v>
                </c:pt>
                <c:pt idx="29">
                  <c:v>30-10-2025</c:v>
                </c:pt>
                <c:pt idx="30">
                  <c:v>31-10-2025</c:v>
                </c:pt>
              </c:strCache>
            </c:strRef>
          </c:cat>
          <c:val>
            <c:numRef>
              <c:f>'Site - Month Graph'!$D$45:$D$75</c:f>
              <c:numCache>
                <c:formatCode>General</c:formatCode>
                <c:ptCount val="31"/>
                <c:pt idx="0">
                  <c:v>52183</c:v>
                </c:pt>
                <c:pt idx="1">
                  <c:v>55606</c:v>
                </c:pt>
                <c:pt idx="2">
                  <c:v>59125</c:v>
                </c:pt>
                <c:pt idx="3">
                  <c:v>59705</c:v>
                </c:pt>
                <c:pt idx="4">
                  <c:v>58354</c:v>
                </c:pt>
                <c:pt idx="5">
                  <c:v>64107</c:v>
                </c:pt>
                <c:pt idx="6">
                  <c:v>59707</c:v>
                </c:pt>
                <c:pt idx="7">
                  <c:v>53775</c:v>
                </c:pt>
                <c:pt idx="8">
                  <c:v>51910</c:v>
                </c:pt>
                <c:pt idx="9">
                  <c:v>51778</c:v>
                </c:pt>
                <c:pt idx="10">
                  <c:v>48925</c:v>
                </c:pt>
                <c:pt idx="11">
                  <c:v>47080</c:v>
                </c:pt>
                <c:pt idx="12">
                  <c:v>46873</c:v>
                </c:pt>
                <c:pt idx="13">
                  <c:v>48295</c:v>
                </c:pt>
                <c:pt idx="14">
                  <c:v>52788</c:v>
                </c:pt>
                <c:pt idx="15">
                  <c:v>53782</c:v>
                </c:pt>
                <c:pt idx="16">
                  <c:v>51266</c:v>
                </c:pt>
                <c:pt idx="17">
                  <c:v>47763</c:v>
                </c:pt>
                <c:pt idx="18">
                  <c:v>49480</c:v>
                </c:pt>
                <c:pt idx="19">
                  <c:v>43911</c:v>
                </c:pt>
                <c:pt idx="20">
                  <c:v>52234</c:v>
                </c:pt>
                <c:pt idx="21">
                  <c:v>63200</c:v>
                </c:pt>
                <c:pt idx="22">
                  <c:v>65146</c:v>
                </c:pt>
                <c:pt idx="23">
                  <c:v>61714</c:v>
                </c:pt>
                <c:pt idx="24">
                  <c:v>59606</c:v>
                </c:pt>
                <c:pt idx="25">
                  <c:v>59686</c:v>
                </c:pt>
                <c:pt idx="26">
                  <c:v>57324</c:v>
                </c:pt>
                <c:pt idx="27">
                  <c:v>51544</c:v>
                </c:pt>
                <c:pt idx="28">
                  <c:v>50441</c:v>
                </c:pt>
                <c:pt idx="29">
                  <c:v>48416</c:v>
                </c:pt>
                <c:pt idx="30">
                  <c:v>47933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44-47A9-908A-0557354E2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50090952"/>
        <c:axId val="450091344"/>
      </c:lineChart>
      <c:dateAx>
        <c:axId val="450090952"/>
        <c:scaling>
          <c:orientation val="minMax"/>
        </c:scaling>
        <c:delete val="0"/>
        <c:axPos val="b"/>
        <c:numFmt formatCode="mmm\,\ dd\ d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450091344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450091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4500909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270533574607523E-2"/>
          <c:y val="0.11090627185115375"/>
          <c:w val="0.92619542619544148"/>
          <c:h val="0.38819934643000659"/>
        </c:manualLayout>
      </c:layout>
      <c:lineChart>
        <c:grouping val="standard"/>
        <c:varyColors val="0"/>
        <c:ser>
          <c:idx val="0"/>
          <c:order val="0"/>
          <c:tx>
            <c:strRef>
              <c:f>'Site - Month Graph'!$E$3</c:f>
              <c:strCache>
                <c:ptCount val="1"/>
                <c:pt idx="0">
                  <c:v>Page Views(Mobile)</c:v>
                </c:pt>
              </c:strCache>
            </c:strRef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dLbl>
              <c:idx val="30"/>
              <c:numFmt formatCode="[&gt;=10000000]##\,##\,##\,##0;[&gt;=100000]\ ##\,##\,##0;##,##0" sourceLinked="0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ysDash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525" b="0" i="0" u="none" strike="noStrike" baseline="0">
                      <a:solidFill>
                        <a:srgbClr val="000000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BD4-46BB-BFF7-D8DA4A20A07C}"/>
                </c:ext>
              </c:extLst>
            </c:dLbl>
            <c:numFmt formatCode="[&gt;=10000000]##\,##\,##\,##0;[&gt;=100000]\ ##\,##\,##0;##,##0" sourceLinked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ysDash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675" b="0" i="0" u="none" strike="noStrike" baseline="0">
                    <a:solidFill>
                      <a:srgbClr val="000000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'Site - Month Graph'!$C$4:$C$34</c:f>
              <c:strCache>
                <c:ptCount val="31"/>
                <c:pt idx="0">
                  <c:v>01-10-2025</c:v>
                </c:pt>
                <c:pt idx="1">
                  <c:v>02-10-2025</c:v>
                </c:pt>
                <c:pt idx="2">
                  <c:v>03-10-2025</c:v>
                </c:pt>
                <c:pt idx="3">
                  <c:v>04-10-2025</c:v>
                </c:pt>
                <c:pt idx="4">
                  <c:v>05-10-2025</c:v>
                </c:pt>
                <c:pt idx="5">
                  <c:v>06-10-2025</c:v>
                </c:pt>
                <c:pt idx="6">
                  <c:v>07-10-2025</c:v>
                </c:pt>
                <c:pt idx="7">
                  <c:v>08-10-2025</c:v>
                </c:pt>
                <c:pt idx="8">
                  <c:v>09-10-2025</c:v>
                </c:pt>
                <c:pt idx="9">
                  <c:v>10-10-2025</c:v>
                </c:pt>
                <c:pt idx="10">
                  <c:v>11-10-2025</c:v>
                </c:pt>
                <c:pt idx="11">
                  <c:v>12-10-2025</c:v>
                </c:pt>
                <c:pt idx="12">
                  <c:v>13-10-2025</c:v>
                </c:pt>
                <c:pt idx="13">
                  <c:v>14-10-2025</c:v>
                </c:pt>
                <c:pt idx="14">
                  <c:v>15-10-2025</c:v>
                </c:pt>
                <c:pt idx="15">
                  <c:v>16-10-2025</c:v>
                </c:pt>
                <c:pt idx="16">
                  <c:v>17-10-2025</c:v>
                </c:pt>
                <c:pt idx="17">
                  <c:v>18-10-2025</c:v>
                </c:pt>
                <c:pt idx="18">
                  <c:v>19-10-2025</c:v>
                </c:pt>
                <c:pt idx="19">
                  <c:v>20-10-2025</c:v>
                </c:pt>
                <c:pt idx="20">
                  <c:v>21-10-2025</c:v>
                </c:pt>
                <c:pt idx="21">
                  <c:v>22-10-2025</c:v>
                </c:pt>
                <c:pt idx="22">
                  <c:v>23-10-2025</c:v>
                </c:pt>
                <c:pt idx="23">
                  <c:v>24-10-2025</c:v>
                </c:pt>
                <c:pt idx="24">
                  <c:v>25-10-2025</c:v>
                </c:pt>
                <c:pt idx="25">
                  <c:v>26-10-2025</c:v>
                </c:pt>
                <c:pt idx="26">
                  <c:v>27-10-2025</c:v>
                </c:pt>
                <c:pt idx="27">
                  <c:v>28-10-2025</c:v>
                </c:pt>
                <c:pt idx="28">
                  <c:v>29-10-2025</c:v>
                </c:pt>
                <c:pt idx="29">
                  <c:v>30-10-2025</c:v>
                </c:pt>
                <c:pt idx="30">
                  <c:v>31-10-2025</c:v>
                </c:pt>
              </c:strCache>
            </c:strRef>
          </c:cat>
          <c:val>
            <c:numRef>
              <c:f>'Site - Month Graph'!$E$4:$E$34</c:f>
              <c:numCache>
                <c:formatCode>General</c:formatCode>
                <c:ptCount val="31"/>
                <c:pt idx="0">
                  <c:v>97703</c:v>
                </c:pt>
                <c:pt idx="1">
                  <c:v>106679</c:v>
                </c:pt>
                <c:pt idx="2">
                  <c:v>107562</c:v>
                </c:pt>
                <c:pt idx="3">
                  <c:v>111731</c:v>
                </c:pt>
                <c:pt idx="4">
                  <c:v>114163</c:v>
                </c:pt>
                <c:pt idx="5">
                  <c:v>113322</c:v>
                </c:pt>
                <c:pt idx="6">
                  <c:v>107444</c:v>
                </c:pt>
                <c:pt idx="7">
                  <c:v>98620</c:v>
                </c:pt>
                <c:pt idx="8">
                  <c:v>96686</c:v>
                </c:pt>
                <c:pt idx="9">
                  <c:v>96091</c:v>
                </c:pt>
                <c:pt idx="10">
                  <c:v>95271</c:v>
                </c:pt>
                <c:pt idx="11">
                  <c:v>95292</c:v>
                </c:pt>
                <c:pt idx="12">
                  <c:v>88133</c:v>
                </c:pt>
                <c:pt idx="13">
                  <c:v>88813</c:v>
                </c:pt>
                <c:pt idx="14">
                  <c:v>92487</c:v>
                </c:pt>
                <c:pt idx="15">
                  <c:v>92688</c:v>
                </c:pt>
                <c:pt idx="16">
                  <c:v>92479</c:v>
                </c:pt>
                <c:pt idx="17">
                  <c:v>93537</c:v>
                </c:pt>
                <c:pt idx="18">
                  <c:v>101602</c:v>
                </c:pt>
                <c:pt idx="19">
                  <c:v>84104</c:v>
                </c:pt>
                <c:pt idx="20">
                  <c:v>93236</c:v>
                </c:pt>
                <c:pt idx="21">
                  <c:v>99716</c:v>
                </c:pt>
                <c:pt idx="22">
                  <c:v>102049</c:v>
                </c:pt>
                <c:pt idx="23">
                  <c:v>108345</c:v>
                </c:pt>
                <c:pt idx="24">
                  <c:v>113125</c:v>
                </c:pt>
                <c:pt idx="25">
                  <c:v>117857</c:v>
                </c:pt>
                <c:pt idx="26">
                  <c:v>106826</c:v>
                </c:pt>
                <c:pt idx="27">
                  <c:v>96061</c:v>
                </c:pt>
                <c:pt idx="28">
                  <c:v>92005</c:v>
                </c:pt>
                <c:pt idx="29">
                  <c:v>89681</c:v>
                </c:pt>
                <c:pt idx="30">
                  <c:v>87906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D4-46BB-BFF7-D8DA4A20A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373079808"/>
        <c:axId val="373081376"/>
      </c:lineChart>
      <c:dateAx>
        <c:axId val="373079808"/>
        <c:scaling>
          <c:orientation val="minMax"/>
        </c:scaling>
        <c:delete val="0"/>
        <c:axPos val="b"/>
        <c:numFmt formatCode="mmm\,\ dd\ d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73081376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73081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75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7307980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IN" sz="2000" dirty="0">
                <a:latin typeface="Toyota Type Light" panose="020B0302020202020204"/>
              </a:rPr>
              <a:t>No. of Visits</a:t>
            </a:r>
            <a:endParaRPr lang="en-US" sz="2000" dirty="0">
              <a:latin typeface="Toyota Type Light" panose="020B0302020202020204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295236399066774"/>
          <c:y val="0.1156135018284245"/>
          <c:w val="0.82257418446561492"/>
          <c:h val="0.63519499744215135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66CC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000080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spPr>
              <a:gradFill rotWithShape="0">
                <a:gsLst>
                  <a:gs pos="0">
                    <a:srgbClr val="9999FF">
                      <a:gamma/>
                      <a:shade val="86275"/>
                      <a:invGamma/>
                    </a:srgbClr>
                  </a:gs>
                  <a:gs pos="50000">
                    <a:srgbClr val="9999FF"/>
                  </a:gs>
                  <a:gs pos="100000">
                    <a:srgbClr val="9999FF">
                      <a:gamma/>
                      <a:shade val="86275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 of Visitors'!$A$2:$A$7</c:f>
              <c:strCache>
                <c:ptCount val="6"/>
                <c:pt idx="0">
                  <c:v>May-2025</c:v>
                </c:pt>
                <c:pt idx="1">
                  <c:v>Jun-2025</c:v>
                </c:pt>
                <c:pt idx="2">
                  <c:v>Jul-2025</c:v>
                </c:pt>
                <c:pt idx="3">
                  <c:v>Aug-2025</c:v>
                </c:pt>
                <c:pt idx="4">
                  <c:v>Sep-2025</c:v>
                </c:pt>
                <c:pt idx="5">
                  <c:v>Oct-2025</c:v>
                </c:pt>
              </c:strCache>
            </c:strRef>
          </c:cat>
          <c:val>
            <c:numRef>
              <c:f>'No of Visitors'!$B$2:$B$7</c:f>
              <c:numCache>
                <c:formatCode>#,##0</c:formatCode>
                <c:ptCount val="6"/>
                <c:pt idx="0">
                  <c:v>1386083</c:v>
                </c:pt>
                <c:pt idx="1">
                  <c:v>3436416</c:v>
                </c:pt>
                <c:pt idx="2">
                  <c:v>4167538</c:v>
                </c:pt>
                <c:pt idx="3">
                  <c:v>1883860</c:v>
                </c:pt>
                <c:pt idx="4">
                  <c:v>2306319</c:v>
                </c:pt>
                <c:pt idx="5">
                  <c:v>2295204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0-4C63-8B5B-C58B14937B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50085856"/>
        <c:axId val="450088992"/>
      </c:lineChart>
      <c:catAx>
        <c:axId val="45008585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12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8992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45008899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1175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5856"/>
        <c:crosses val="autoZero"/>
        <c:crossBetween val="between"/>
        <c:majorUnit val="1000000"/>
        <c:minorUnit val="200000"/>
      </c:valAx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IN" sz="2000" dirty="0">
                <a:latin typeface="Toyota Type Light" panose="020B0302020202020204"/>
              </a:rPr>
              <a:t>No. of Visits</a:t>
            </a:r>
            <a:endParaRPr lang="en-US" sz="2000" dirty="0">
              <a:latin typeface="Toyota Type Light" panose="020B0302020202020204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67863261741905"/>
          <c:y val="0.13539165909769094"/>
          <c:w val="0.82257418446561492"/>
          <c:h val="0.63519499744215135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66CC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000080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spPr>
              <a:gradFill rotWithShape="0">
                <a:gsLst>
                  <a:gs pos="0">
                    <a:srgbClr val="9999FF">
                      <a:gamma/>
                      <a:shade val="86275"/>
                      <a:invGamma/>
                    </a:srgbClr>
                  </a:gs>
                  <a:gs pos="50000">
                    <a:srgbClr val="9999FF"/>
                  </a:gs>
                  <a:gs pos="100000">
                    <a:srgbClr val="9999FF">
                      <a:gamma/>
                      <a:shade val="86275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 of Visitors'!$C$2:$C$7</c:f>
              <c:strCache>
                <c:ptCount val="6"/>
                <c:pt idx="0">
                  <c:v>May-2025</c:v>
                </c:pt>
                <c:pt idx="1">
                  <c:v>Jun-2025</c:v>
                </c:pt>
                <c:pt idx="2">
                  <c:v>Jul-2025</c:v>
                </c:pt>
                <c:pt idx="3">
                  <c:v>Aug-2025</c:v>
                </c:pt>
                <c:pt idx="4">
                  <c:v>Sep-2025</c:v>
                </c:pt>
                <c:pt idx="5">
                  <c:v>Oct-2025</c:v>
                </c:pt>
              </c:strCache>
            </c:strRef>
          </c:cat>
          <c:val>
            <c:numRef>
              <c:f>'No of Visitors'!$D$2:$D$7</c:f>
              <c:numCache>
                <c:formatCode>#,##0</c:formatCode>
                <c:ptCount val="6"/>
                <c:pt idx="0" formatCode="General">
                  <c:v>1127700</c:v>
                </c:pt>
                <c:pt idx="1">
                  <c:v>3122151</c:v>
                </c:pt>
                <c:pt idx="2">
                  <c:v>3844822</c:v>
                </c:pt>
                <c:pt idx="3">
                  <c:v>1585494</c:v>
                </c:pt>
                <c:pt idx="4">
                  <c:v>1941298</c:v>
                </c:pt>
                <c:pt idx="5">
                  <c:v>1903070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2-4149-A47A-2A74FCDD62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50085856"/>
        <c:axId val="450088992"/>
      </c:lineChart>
      <c:catAx>
        <c:axId val="45008585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12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8992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4500889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1175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5856"/>
        <c:crosses val="autoZero"/>
        <c:crossBetween val="between"/>
        <c:majorUnit val="1000000"/>
      </c:valAx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IN" sz="2000" dirty="0">
                <a:latin typeface="Toyota Type Light" panose="020B0302020202020204"/>
              </a:rPr>
              <a:t> Total No. of leads/enquiries</a:t>
            </a:r>
          </a:p>
        </c:rich>
      </c:tx>
      <c:layout>
        <c:manualLayout>
          <c:xMode val="edge"/>
          <c:yMode val="edge"/>
          <c:x val="0.40064055308032193"/>
          <c:y val="1.49579223045470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248895502682266"/>
          <c:y val="0.1136056299340498"/>
          <c:w val="0.83766185640251112"/>
          <c:h val="0.75156005553515992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66CC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80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4989648033126292E-2"/>
                  <c:y val="-3.6463028328355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F4-4A84-B0EB-D390B24C1003}"/>
                </c:ext>
              </c:extLst>
            </c:dLbl>
            <c:dLbl>
              <c:idx val="1"/>
              <c:layout>
                <c:manualLayout>
                  <c:x val="-2.7329192546583891E-2"/>
                  <c:y val="-4.0765318128337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F4-4A84-B0EB-D390B24C1003}"/>
                </c:ext>
              </c:extLst>
            </c:dLbl>
            <c:dLbl>
              <c:idx val="2"/>
              <c:layout>
                <c:manualLayout>
                  <c:x val="-3.1746031746031744E-2"/>
                  <c:y val="-4.35664162669321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F4-4A84-B0EB-D390B24C1003}"/>
                </c:ext>
              </c:extLst>
            </c:dLbl>
            <c:dLbl>
              <c:idx val="3"/>
              <c:layout>
                <c:manualLayout>
                  <c:x val="-3.5472848502632846E-2"/>
                  <c:y val="-3.9939180016291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F4-4A84-B0EB-D390B24C1003}"/>
                </c:ext>
              </c:extLst>
            </c:dLbl>
            <c:dLbl>
              <c:idx val="4"/>
              <c:layout>
                <c:manualLayout>
                  <c:x val="-2.5742108323416096E-2"/>
                  <c:y val="-4.1773916191510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F4-4A84-B0EB-D390B24C1003}"/>
                </c:ext>
              </c:extLst>
            </c:dLbl>
            <c:dLbl>
              <c:idx val="5"/>
              <c:layout>
                <c:manualLayout>
                  <c:x val="-3.3264428902908767E-2"/>
                  <c:y val="-3.38924186200862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F4-4A84-B0EB-D390B24C1003}"/>
                </c:ext>
              </c:extLst>
            </c:dLbl>
            <c:dLbl>
              <c:idx val="6"/>
              <c:layout>
                <c:manualLayout>
                  <c:x val="-1.5013911623132901E-2"/>
                  <c:y val="-4.5576937658434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F4-4A84-B0EB-D390B24C1003}"/>
                </c:ext>
              </c:extLst>
            </c:dLbl>
            <c:dLbl>
              <c:idx val="7"/>
              <c:layout>
                <c:manualLayout>
                  <c:x val="-2.2429266748991698E-2"/>
                  <c:y val="-6.6664432594010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F4-4A84-B0EB-D390B24C1003}"/>
                </c:ext>
              </c:extLst>
            </c:dLbl>
            <c:dLbl>
              <c:idx val="8"/>
              <c:layout>
                <c:manualLayout>
                  <c:x val="-1.9944811287886159E-2"/>
                  <c:y val="-5.4309910899952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F4-4A84-B0EB-D390B24C1003}"/>
                </c:ext>
              </c:extLst>
            </c:dLbl>
            <c:dLbl>
              <c:idx val="9"/>
              <c:layout>
                <c:manualLayout>
                  <c:x val="-1.6425158092891783E-2"/>
                  <c:y val="-4.0459350873355636E-2"/>
                </c:manualLayout>
              </c:layout>
              <c:spPr>
                <a:solidFill>
                  <a:srgbClr val="9999FF"/>
                </a:solidFill>
                <a:ln w="25400">
                  <a:noFill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90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4-4A84-B0EB-D390B24C100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lang="en-IN" sz="900" b="0" i="0" u="none" strike="noStrike" baseline="0">
                        <a:solidFill>
                          <a:srgbClr val="000000"/>
                        </a:solidFill>
                        <a:latin typeface="Verdana"/>
                        <a:ea typeface="Verdana"/>
                        <a:cs typeface="Verdana"/>
                      </a:defRPr>
                    </a:pPr>
                    <a:r>
                      <a:rPr lang="en-IN"/>
                      <a:t>6004</a:t>
                    </a:r>
                  </a:p>
                </c:rich>
              </c:tx>
              <c:spPr>
                <a:solidFill>
                  <a:srgbClr val="9999FF"/>
                </a:solidFill>
                <a:ln w="25400">
                  <a:noFill/>
                </a:ln>
                <a:effectLst>
                  <a:outerShdw dist="35921" dir="2700000" algn="br">
                    <a:srgbClr val="000000"/>
                  </a:outerShdw>
                </a:effectLst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1F4-4A84-B0EB-D390B24C100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lang="en-IN" sz="900" b="0" i="0" u="none" strike="noStrike" baseline="0">
                        <a:solidFill>
                          <a:srgbClr val="000000"/>
                        </a:solidFill>
                        <a:latin typeface="Verdana"/>
                        <a:ea typeface="Verdana"/>
                        <a:cs typeface="Verdana"/>
                      </a:defRPr>
                    </a:pPr>
                    <a:r>
                      <a:rPr lang="en-IN"/>
                      <a:t>779</a:t>
                    </a:r>
                  </a:p>
                </c:rich>
              </c:tx>
              <c:spPr>
                <a:solidFill>
                  <a:srgbClr val="9999FF"/>
                </a:solidFill>
                <a:ln w="25400">
                  <a:noFill/>
                </a:ln>
                <a:effectLst>
                  <a:outerShdw dist="35921" dir="2700000" algn="br">
                    <a:srgbClr val="000000"/>
                  </a:outerShdw>
                </a:effectLst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1F4-4A84-B0EB-D390B24C1003}"/>
                </c:ext>
              </c:extLst>
            </c:dLbl>
            <c:dLbl>
              <c:idx val="12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900" b="0" i="0" u="none" strike="noStrike" baseline="0">
                      <a:solidFill>
                        <a:srgbClr val="000000"/>
                      </a:solidFill>
                      <a:latin typeface="Century Gothic"/>
                      <a:ea typeface="Century Gothic"/>
                      <a:cs typeface="Century Gothic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1F4-4A84-B0EB-D390B24C1003}"/>
                </c:ext>
              </c:extLst>
            </c:dLbl>
            <c:dLbl>
              <c:idx val="13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9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1F4-4A84-B0EB-D390B24C1003}"/>
                </c:ext>
              </c:extLst>
            </c:dLbl>
            <c:dLbl>
              <c:idx val="14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81F4-4A84-B0EB-D390B24C1003}"/>
                </c:ext>
              </c:extLst>
            </c:dLbl>
            <c:dLbl>
              <c:idx val="15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1F4-4A84-B0EB-D390B24C1003}"/>
                </c:ext>
              </c:extLst>
            </c:dLbl>
            <c:dLbl>
              <c:idx val="16"/>
              <c:layout>
                <c:manualLayout>
                  <c:x val="0.2216385203422665"/>
                  <c:y val="-0.22902221791036664"/>
                </c:manualLayout>
              </c:layout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000" b="0" i="0" u="none" strike="noStrike" baseline="0">
                      <a:solidFill>
                        <a:srgbClr val="000000"/>
                      </a:solidFill>
                      <a:latin typeface="Century Gothic"/>
                      <a:ea typeface="Century Gothic"/>
                      <a:cs typeface="Century Gothic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1F4-4A84-B0EB-D390B24C1003}"/>
                </c:ext>
              </c:extLst>
            </c:dLbl>
            <c:dLbl>
              <c:idx val="17"/>
              <c:layout>
                <c:manualLayout>
                  <c:x val="-0.34764064348779833"/>
                  <c:y val="-0.54937603422578662"/>
                </c:manualLayout>
              </c:layout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1F4-4A84-B0EB-D390B24C1003}"/>
                </c:ext>
              </c:extLst>
            </c:dLbl>
            <c:dLbl>
              <c:idx val="18"/>
              <c:layout>
                <c:manualLayout>
                  <c:x val="-0.36619450420767108"/>
                  <c:y val="-0.51626020489158653"/>
                </c:manualLayout>
              </c:layout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1F4-4A84-B0EB-D390B24C1003}"/>
                </c:ext>
              </c:extLst>
            </c:dLbl>
            <c:dLbl>
              <c:idx val="19"/>
              <c:layout>
                <c:manualLayout>
                  <c:x val="-0.38888926454515887"/>
                  <c:y val="-0.46443960669152129"/>
                </c:manualLayout>
              </c:layout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1F4-4A84-B0EB-D390B24C1003}"/>
                </c:ext>
              </c:extLst>
            </c:dLbl>
            <c:dLbl>
              <c:idx val="20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1F4-4A84-B0EB-D390B24C1003}"/>
                </c:ext>
              </c:extLst>
            </c:dLbl>
            <c:dLbl>
              <c:idx val="21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F4-4A84-B0EB-D390B24C1003}"/>
                </c:ext>
              </c:extLst>
            </c:dLbl>
            <c:dLbl>
              <c:idx val="22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1F4-4A84-B0EB-D390B24C1003}"/>
                </c:ext>
              </c:extLst>
            </c:dLbl>
            <c:dLbl>
              <c:idx val="23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1F4-4A84-B0EB-D390B24C1003}"/>
                </c:ext>
              </c:extLst>
            </c:dLbl>
            <c:dLbl>
              <c:idx val="24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1F4-4A84-B0EB-D390B24C1003}"/>
                </c:ext>
              </c:extLst>
            </c:dLbl>
            <c:dLbl>
              <c:idx val="25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1F4-4A84-B0EB-D390B24C1003}"/>
                </c:ext>
              </c:extLst>
            </c:dLbl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9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'Online Requests Trends'!$A$2:$A$7</c:f>
              <c:strCache>
                <c:ptCount val="6"/>
                <c:pt idx="0">
                  <c:v>May-2025</c:v>
                </c:pt>
                <c:pt idx="1">
                  <c:v>Jun-2025</c:v>
                </c:pt>
                <c:pt idx="2">
                  <c:v>Jul-2025</c:v>
                </c:pt>
                <c:pt idx="3">
                  <c:v>Aug-2025</c:v>
                </c:pt>
                <c:pt idx="4">
                  <c:v>Sep-2025</c:v>
                </c:pt>
                <c:pt idx="5">
                  <c:v>Oct-2025</c:v>
                </c:pt>
              </c:strCache>
            </c:strRef>
          </c:cat>
          <c:val>
            <c:numRef>
              <c:f>'Online Requests Trends'!$B$2:$B$7</c:f>
              <c:numCache>
                <c:formatCode>#,##0</c:formatCode>
                <c:ptCount val="6"/>
                <c:pt idx="0">
                  <c:v>100509</c:v>
                </c:pt>
                <c:pt idx="1">
                  <c:v>114024</c:v>
                </c:pt>
                <c:pt idx="2">
                  <c:v>113905</c:v>
                </c:pt>
                <c:pt idx="3">
                  <c:v>127069</c:v>
                </c:pt>
                <c:pt idx="4">
                  <c:v>148616</c:v>
                </c:pt>
                <c:pt idx="5">
                  <c:v>180150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1F4-4A84-B0EB-D390B24C10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50085072"/>
        <c:axId val="450085464"/>
      </c:lineChart>
      <c:dateAx>
        <c:axId val="45008507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10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546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50085464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10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5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28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Toyota Type Light" panose="020B0302020202020204" pitchFamily="34" charset="0"/>
                <a:ea typeface="+mn-ea"/>
                <a:cs typeface="Toyota Type Light" panose="020B0302020202020204" pitchFamily="34" charset="0"/>
              </a:defRPr>
            </a:pPr>
            <a:r>
              <a:rPr lang="en-US" dirty="0">
                <a:latin typeface="Toyota Type Light" panose="020B0302020202020204" pitchFamily="34" charset="0"/>
                <a:cs typeface="Toyota Type Light" panose="020B0302020202020204" pitchFamily="34" charset="0"/>
              </a:rPr>
              <a:t>Traffic Sources</a:t>
            </a:r>
          </a:p>
        </c:rich>
      </c:tx>
      <c:layout>
        <c:manualLayout>
          <c:xMode val="edge"/>
          <c:yMode val="edge"/>
          <c:x val="0.33400612966857401"/>
          <c:y val="1.5151515151515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28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Toyota Type Light" panose="020B0302020202020204" pitchFamily="34" charset="0"/>
              <a:ea typeface="+mn-ea"/>
              <a:cs typeface="Toyota Type Light" panose="020B0302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81908740547088"/>
          <c:y val="0.2955257237473895"/>
          <c:w val="0.66652410058876155"/>
          <c:h val="0.7044742762526105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07-4F54-A688-F1FC4787E3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07-4F54-A688-F1FC4787E3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07-4F54-A688-F1FC4787E3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07-4F54-A688-F1FC4787E3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07-4F54-A688-F1FC4787E3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407-4F54-A688-F1FC4787E3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407-4F54-A688-F1FC4787E38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407-4F54-A688-F1FC4787E38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0053-45F9-B933-05D83A4695A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053-45F9-B933-05D83A4695A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0053-45F9-B933-05D83A4695A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053-45F9-B933-05D83A4695A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A893-4DDA-B3EA-BF7C382EFAD1}"/>
              </c:ext>
            </c:extLst>
          </c:dPt>
          <c:dLbls>
            <c:dLbl>
              <c:idx val="0"/>
              <c:layout>
                <c:manualLayout>
                  <c:x val="-3.6413869318966709E-3"/>
                  <c:y val="5.31456295235822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1FF39612-C0CA-4DEB-A9CA-046C22AC150D}" type="CELLRANGE">
                      <a:rPr lang="en-US" sz="1000" baseline="0"/>
                      <a:pPr>
                        <a:defRPr sz="1000"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30FA7574-CC7A-44C6-9D41-A4FCB07A2BB2}" type="VALUE">
                      <a:rPr lang="en-US" sz="1000" baseline="0"/>
                      <a:pPr>
                        <a:defRPr sz="1000"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712934139046574"/>
                      <c:h val="0.178510670614754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407-4F54-A688-F1FC4787E387}"/>
                </c:ext>
              </c:extLst>
            </c:dLbl>
            <c:dLbl>
              <c:idx val="1"/>
              <c:layout>
                <c:manualLayout>
                  <c:x val="0.25293898788967162"/>
                  <c:y val="-1.05818883391335E-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6ECC52A2-C8A9-4B81-B344-9DDED49CE663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7FC2E12B-8FBE-402C-AAA0-01A6AD10F636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407-4F54-A688-F1FC4787E387}"/>
                </c:ext>
              </c:extLst>
            </c:dLbl>
            <c:dLbl>
              <c:idx val="2"/>
              <c:layout>
                <c:manualLayout>
                  <c:x val="-3.3550882775681273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4C7675EC-56C0-416A-8CA5-3FEAA54881BA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D15D3228-5235-4E56-8E4F-11178C699AB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407-4F54-A688-F1FC4787E387}"/>
                </c:ext>
              </c:extLst>
            </c:dLbl>
            <c:dLbl>
              <c:idx val="3"/>
              <c:layout>
                <c:manualLayout>
                  <c:x val="-0.12342690859294762"/>
                  <c:y val="9.482211111443764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59AD79D-63D2-4611-A361-86BAAA0F5F63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1CD5AEDA-3648-4D40-96E9-F63712B108B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407-4F54-A688-F1FC4787E387}"/>
                </c:ext>
              </c:extLst>
            </c:dLbl>
            <c:dLbl>
              <c:idx val="4"/>
              <c:layout>
                <c:manualLayout>
                  <c:x val="-0.2249309597169919"/>
                  <c:y val="2.880352883646151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B86DE16-7308-488A-AAA5-094BCFF734CA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899190B7-810D-4D38-A52A-14696662BC4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726708074534161"/>
                      <c:h val="6.805710738671633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407-4F54-A688-F1FC4787E387}"/>
                </c:ext>
              </c:extLst>
            </c:dLbl>
            <c:dLbl>
              <c:idx val="5"/>
              <c:layout>
                <c:manualLayout>
                  <c:x val="-0.28525032197062322"/>
                  <c:y val="-8.376914862828457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E70B4B64-CE06-471A-8CE0-4585C85CA1E8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464E7521-14D1-430C-907F-7B6E716A5028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331262939958592"/>
                      <c:h val="6.805710738671633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407-4F54-A688-F1FC4787E387}"/>
                </c:ext>
              </c:extLst>
            </c:dLbl>
            <c:dLbl>
              <c:idx val="6"/>
              <c:layout>
                <c:manualLayout>
                  <c:x val="-0.20081071387815652"/>
                  <c:y val="-0.155150444597467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E6BAB2F5-AA61-4480-A626-2D53D67F14A5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44079165-1CF4-45D4-BE9A-F646A9912A07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F407-4F54-A688-F1FC4787E387}"/>
                </c:ext>
              </c:extLst>
            </c:dLbl>
            <c:dLbl>
              <c:idx val="7"/>
              <c:layout>
                <c:manualLayout>
                  <c:x val="-3.6881857159159454E-2"/>
                  <c:y val="-0.126112791034200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A8133AED-F381-4C0B-B556-5EA88CF29989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04E2D09E-35D9-46EB-8F78-7605ED98C187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aseline="0"/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407-4F54-A688-F1FC4787E387}"/>
                </c:ext>
              </c:extLst>
            </c:dLbl>
            <c:dLbl>
              <c:idx val="8"/>
              <c:layout>
                <c:manualLayout>
                  <c:x val="0.12712934567389594"/>
                  <c:y val="-0.1491284044039949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10C1D8B-930C-4952-ADD1-E64CDF4B13A6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5633C236-4373-478A-9B48-53EE2252C05F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0053-45F9-B933-05D83A4695A5}"/>
                </c:ext>
              </c:extLst>
            </c:dLbl>
            <c:dLbl>
              <c:idx val="9"/>
              <c:layout>
                <c:manualLayout>
                  <c:x val="0.36573320440208112"/>
                  <c:y val="6.437149901716857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F45BC810-C60F-4574-96D4-1959CB1F77C0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F930168F-4891-4097-AD6E-BA66CA7B05D6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053-45F9-B933-05D83A4695A5}"/>
                </c:ext>
              </c:extLst>
            </c:dLbl>
            <c:dLbl>
              <c:idx val="10"/>
              <c:layout>
                <c:manualLayout>
                  <c:x val="0.22314481742413778"/>
                  <c:y val="-8.76935837565758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0298FE76-53CA-4390-B1FB-D710C40A9B79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9D47D7F2-283D-47BA-B4A9-F1275FC905F7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053-45F9-B933-05D83A4695A5}"/>
                </c:ext>
              </c:extLst>
            </c:dLbl>
            <c:dLbl>
              <c:idx val="11"/>
              <c:layout>
                <c:manualLayout>
                  <c:x val="0.30316378873693428"/>
                  <c:y val="6.35688720728090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F2EEF346-BC2A-406B-90C4-A66517A4E590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E7DB08F9-E45F-4BD3-9FFA-370DCC8D9E40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053-45F9-B933-05D83A4695A5}"/>
                </c:ext>
              </c:extLst>
            </c:dLbl>
            <c:dLbl>
              <c:idx val="12"/>
              <c:layout>
                <c:manualLayout>
                  <c:x val="-1.6374269005847954E-2"/>
                  <c:y val="-6.637806637806638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r>
                      <a:rPr lang="en-US"/>
                      <a:t>Paid Video</a:t>
                    </a:r>
                    <a:r>
                      <a:rPr lang="en-US" baseline="0"/>
                      <a:t>, </a:t>
                    </a:r>
                    <a:fld id="{D95B3EC9-E013-4103-A72F-A9D4C307B085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A893-4DDA-B3EA-BF7C382EFAD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9.0310077519379833E-2"/>
                      <c:h val="7.31126310320434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B-2F13-42D5-A547-B282326EFE03}"/>
                </c:ext>
              </c:extLst>
            </c:dLbl>
            <c:dLbl>
              <c:idx val="14"/>
              <c:layout>
                <c:manualLayout>
                  <c:x val="4.4573643410852716E-2"/>
                  <c:y val="0.15261049002640167"/>
                </c:manualLayout>
              </c:layout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C-2F13-42D5-A547-B282326EFE03}"/>
                </c:ext>
              </c:extLst>
            </c:dLbl>
            <c:numFmt formatCode="#,##0.00_ ;\-#,##0.0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Toyota Type Light" panose="020B0302020202020204" pitchFamily="34" charset="0"/>
                    <a:ea typeface="+mn-ea"/>
                    <a:cs typeface="Toyota Type Light" panose="020B03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'Traffic source'!$A$2:$A$14</c:f>
              <c:strCache>
                <c:ptCount val="13"/>
                <c:pt idx="0">
                  <c:v>Organic Search</c:v>
                </c:pt>
                <c:pt idx="1">
                  <c:v>Display</c:v>
                </c:pt>
                <c:pt idx="2">
                  <c:v>Paid Search</c:v>
                </c:pt>
                <c:pt idx="3">
                  <c:v>Unassigned</c:v>
                </c:pt>
                <c:pt idx="4">
                  <c:v>Paid Social</c:v>
                </c:pt>
                <c:pt idx="5">
                  <c:v>Direct</c:v>
                </c:pt>
                <c:pt idx="6">
                  <c:v>Organic Social</c:v>
                </c:pt>
                <c:pt idx="7">
                  <c:v>Referral</c:v>
                </c:pt>
                <c:pt idx="8">
                  <c:v>Cross-network</c:v>
                </c:pt>
                <c:pt idx="9">
                  <c:v>Organic Shopping</c:v>
                </c:pt>
                <c:pt idx="10">
                  <c:v>Paid Other</c:v>
                </c:pt>
                <c:pt idx="11">
                  <c:v>Mobile Push Notifications</c:v>
                </c:pt>
                <c:pt idx="12">
                  <c:v>Organic Video</c:v>
                </c:pt>
              </c:strCache>
            </c:strRef>
          </c:cat>
          <c:val>
            <c:numRef>
              <c:f>'Traffic source'!$C$2:$C$14</c:f>
              <c:numCache>
                <c:formatCode>0.00</c:formatCode>
                <c:ptCount val="13"/>
                <c:pt idx="0">
                  <c:v>35.99510108905352</c:v>
                </c:pt>
                <c:pt idx="1">
                  <c:v>22.884501769777327</c:v>
                </c:pt>
                <c:pt idx="2">
                  <c:v>15.443115296069543</c:v>
                </c:pt>
                <c:pt idx="3">
                  <c:v>9.9667393399453825</c:v>
                </c:pt>
                <c:pt idx="4">
                  <c:v>5.8379560161101152</c:v>
                </c:pt>
                <c:pt idx="5">
                  <c:v>4.6310480462738823</c:v>
                </c:pt>
                <c:pt idx="6">
                  <c:v>4.0396844899189785</c:v>
                </c:pt>
                <c:pt idx="7">
                  <c:v>0.73348599950156945</c:v>
                </c:pt>
                <c:pt idx="8">
                  <c:v>0.46810653867804342</c:v>
                </c:pt>
                <c:pt idx="9">
                  <c:v>0.19675810951880532</c:v>
                </c:pt>
                <c:pt idx="10">
                  <c:v>0.12456409103504525</c:v>
                </c:pt>
                <c:pt idx="11">
                  <c:v>3.2458988394931346E-2</c:v>
                </c:pt>
                <c:pt idx="12">
                  <c:v>1.124083088039233E-2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('Traffic source'!$A$2:$A$9,'Traffic source'!$C$2:$C$9)</c15:f>
                <c15:dlblRangeCache>
                  <c:ptCount val="16"/>
                  <c:pt idx="0">
                    <c:v>Organic Search</c:v>
                  </c:pt>
                  <c:pt idx="1">
                    <c:v>Display</c:v>
                  </c:pt>
                  <c:pt idx="2">
                    <c:v>Paid Search</c:v>
                  </c:pt>
                  <c:pt idx="3">
                    <c:v>Unassigned</c:v>
                  </c:pt>
                  <c:pt idx="4">
                    <c:v>Paid Social</c:v>
                  </c:pt>
                  <c:pt idx="5">
                    <c:v>Direct</c:v>
                  </c:pt>
                  <c:pt idx="6">
                    <c:v>Organic Social</c:v>
                  </c:pt>
                  <c:pt idx="7">
                    <c:v>Referral</c:v>
                  </c:pt>
                  <c:pt idx="8">
                    <c:v>36.00</c:v>
                  </c:pt>
                  <c:pt idx="9">
                    <c:v>22.88</c:v>
                  </c:pt>
                  <c:pt idx="10">
                    <c:v>15.44</c:v>
                  </c:pt>
                  <c:pt idx="11">
                    <c:v>9.97</c:v>
                  </c:pt>
                  <c:pt idx="12">
                    <c:v>5.84</c:v>
                  </c:pt>
                  <c:pt idx="13">
                    <c:v>4.63</c:v>
                  </c:pt>
                  <c:pt idx="14">
                    <c:v>4.04</c:v>
                  </c:pt>
                  <c:pt idx="15">
                    <c:v>0.73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F407-4F54-A688-F1FC4787E3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28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Toyota Type Light" panose="020B0302020202020204" pitchFamily="34" charset="0"/>
                <a:ea typeface="+mn-ea"/>
                <a:cs typeface="Toyota Type Light" panose="020B0302020202020204" pitchFamily="34" charset="0"/>
              </a:defRPr>
            </a:pPr>
            <a:r>
              <a:rPr lang="en-US" dirty="0">
                <a:latin typeface="Toyota Type Light" panose="020B0302020202020204" pitchFamily="34" charset="0"/>
                <a:cs typeface="Toyota Type Light" panose="020B0302020202020204" pitchFamily="34" charset="0"/>
              </a:rPr>
              <a:t>Traffic Sources</a:t>
            </a:r>
          </a:p>
        </c:rich>
      </c:tx>
      <c:layout>
        <c:manualLayout>
          <c:xMode val="edge"/>
          <c:yMode val="edge"/>
          <c:x val="0.33400612966857401"/>
          <c:y val="1.5151515151515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28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Toyota Type Light" panose="020B0302020202020204" pitchFamily="34" charset="0"/>
              <a:ea typeface="+mn-ea"/>
              <a:cs typeface="Toyota Type Light" panose="020B0302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81908740547088"/>
          <c:y val="0.2955257237473895"/>
          <c:w val="0.66652410058876155"/>
          <c:h val="0.704474276252610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A6-4833-A724-2606404AF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A6-4833-A724-2606404AF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A6-4833-A724-2606404AF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A6-4833-A724-2606404AF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9A6-4833-A724-2606404AF0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9A6-4833-A724-2606404AF0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9A6-4833-A724-2606404AF0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9A6-4833-A724-2606404AF0B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9A6-4833-A724-2606404AF0B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9A6-4833-A724-2606404AF0B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9A6-4833-A724-2606404AF0B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9A6-4833-A724-2606404AF0B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9A6-4833-A724-2606404AF0B4}"/>
              </c:ext>
            </c:extLst>
          </c:dPt>
          <c:dLbls>
            <c:dLbl>
              <c:idx val="0"/>
              <c:layout>
                <c:manualLayout>
                  <c:x val="-1.0658931789239337E-2"/>
                  <c:y val="0.131067760207291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1FF39612-C0CA-4DEB-A9CA-046C22AC150D}" type="CELLRANGE">
                      <a:rPr lang="en-US" sz="1000" baseline="0"/>
                      <a:pPr>
                        <a:defRPr sz="1000"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30FA7574-CC7A-44C6-9D41-A4FCB07A2BB2}" type="VALUE">
                      <a:rPr lang="en-US" sz="1000" baseline="0"/>
                      <a:pPr>
                        <a:defRPr sz="1000"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712934139046574"/>
                      <c:h val="0.178510670614754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9A6-4833-A724-2606404AF0B4}"/>
                </c:ext>
              </c:extLst>
            </c:dLbl>
            <c:dLbl>
              <c:idx val="1"/>
              <c:layout>
                <c:manualLayout>
                  <c:x val="-6.7101765551362529E-3"/>
                  <c:y val="3.66972477064219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6ECC52A2-C8A9-4B81-B344-9DDED49CE663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7FC2E12B-8FBE-402C-AAA0-01A6AD10F636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A6-4833-A724-2606404AF0B4}"/>
                </c:ext>
              </c:extLst>
            </c:dLbl>
            <c:dLbl>
              <c:idx val="2"/>
              <c:layout>
                <c:manualLayout>
                  <c:x val="-3.3550882775681273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4C7675EC-56C0-416A-8CA5-3FEAA54881BA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D15D3228-5235-4E56-8E4F-11178C699AB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9A6-4833-A724-2606404AF0B4}"/>
                </c:ext>
              </c:extLst>
            </c:dLbl>
            <c:dLbl>
              <c:idx val="3"/>
              <c:layout>
                <c:manualLayout>
                  <c:x val="-0.12342690859294762"/>
                  <c:y val="9.482211111443764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59AD79D-63D2-4611-A361-86BAAA0F5F63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1CD5AEDA-3648-4D40-96E9-F63712B108B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9A6-4833-A724-2606404AF0B4}"/>
                </c:ext>
              </c:extLst>
            </c:dLbl>
            <c:dLbl>
              <c:idx val="4"/>
              <c:layout>
                <c:manualLayout>
                  <c:x val="-0.2249309597169919"/>
                  <c:y val="2.880352883646151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B86DE16-7308-488A-AAA5-094BCFF734CA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899190B7-810D-4D38-A52A-14696662BC4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726708074534161"/>
                      <c:h val="6.805710738671633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9A6-4833-A724-2606404AF0B4}"/>
                </c:ext>
              </c:extLst>
            </c:dLbl>
            <c:dLbl>
              <c:idx val="5"/>
              <c:layout>
                <c:manualLayout>
                  <c:x val="-0.28525032197062322"/>
                  <c:y val="-8.376914862828457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E70B4B64-CE06-471A-8CE0-4585C85CA1E8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464E7521-14D1-430C-907F-7B6E716A5028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331262939958592"/>
                      <c:h val="6.805710738671633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9A6-4833-A724-2606404AF0B4}"/>
                </c:ext>
              </c:extLst>
            </c:dLbl>
            <c:dLbl>
              <c:idx val="6"/>
              <c:layout>
                <c:manualLayout>
                  <c:x val="-0.20081071387815652"/>
                  <c:y val="-0.155150444597467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E6BAB2F5-AA61-4480-A626-2D53D67F14A5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44079165-1CF4-45D4-BE9A-F646A9912A07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9A6-4833-A724-2606404AF0B4}"/>
                </c:ext>
              </c:extLst>
            </c:dLbl>
            <c:dLbl>
              <c:idx val="7"/>
              <c:layout>
                <c:manualLayout>
                  <c:x val="-3.6881857159159454E-2"/>
                  <c:y val="-0.126112791034200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A8133AED-F381-4C0B-B556-5EA88CF29989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04E2D09E-35D9-46EB-8F78-7605ED98C187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aseline="0"/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9A6-4833-A724-2606404AF0B4}"/>
                </c:ext>
              </c:extLst>
            </c:dLbl>
            <c:dLbl>
              <c:idx val="8"/>
              <c:layout>
                <c:manualLayout>
                  <c:x val="0.17391304347826078"/>
                  <c:y val="-0.1318124899192070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10C1D8B-930C-4952-ADD1-E64CDF4B13A6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5633C236-4373-478A-9B48-53EE2252C05F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69A6-4833-A724-2606404AF0B4}"/>
                </c:ext>
              </c:extLst>
            </c:dLbl>
            <c:dLbl>
              <c:idx val="9"/>
              <c:layout>
                <c:manualLayout>
                  <c:x val="0.35403726708074534"/>
                  <c:y val="-2.819493931973587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F45BC810-C60F-4574-96D4-1959CB1F77C0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F930168F-4891-4097-AD6E-BA66CA7B05D6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69A6-4833-A724-2606404AF0B4}"/>
                </c:ext>
              </c:extLst>
            </c:dLbl>
            <c:dLbl>
              <c:idx val="10"/>
              <c:layout>
                <c:manualLayout>
                  <c:x val="0.20910973084886128"/>
                  <c:y val="-7.614950365841141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0298FE76-53CA-4390-B1FB-D710C40A9B79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9D47D7F2-283D-47BA-B4A9-F1275FC905F7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69A6-4833-A724-2606404AF0B4}"/>
                </c:ext>
              </c:extLst>
            </c:dLbl>
            <c:dLbl>
              <c:idx val="11"/>
              <c:layout>
                <c:manualLayout>
                  <c:x val="0.2774327122153209"/>
                  <c:y val="2.02788339670468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F2EEF346-BC2A-406B-90C4-A66517A4E590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E7DB08F9-E45F-4BD3-9FFA-370DCC8D9E40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69A6-4833-A724-2606404AF0B4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r>
                      <a:rPr lang="en-US"/>
                      <a:t>Paid Video</a:t>
                    </a:r>
                    <a:r>
                      <a:rPr lang="en-US" baseline="0"/>
                      <a:t>, </a:t>
                    </a:r>
                    <a:fld id="{D95B3EC9-E013-4103-A72F-A9D4C307B085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69A6-4833-A724-2606404AF0B4}"/>
                </c:ext>
              </c:extLst>
            </c:dLbl>
            <c:numFmt formatCode="#,##0.00_ ;\-#,##0.0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Toyota Type Light" panose="020B0302020202020204" pitchFamily="34" charset="0"/>
                    <a:ea typeface="+mn-ea"/>
                    <a:cs typeface="Toyota Type Light" panose="020B03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'Traffic source'!$A$23:$A$35</c:f>
              <c:strCache>
                <c:ptCount val="13"/>
                <c:pt idx="0">
                  <c:v>Organic Search</c:v>
                </c:pt>
                <c:pt idx="1">
                  <c:v>Display</c:v>
                </c:pt>
                <c:pt idx="2">
                  <c:v>Paid Search</c:v>
                </c:pt>
                <c:pt idx="3">
                  <c:v>Unassigned</c:v>
                </c:pt>
                <c:pt idx="4">
                  <c:v>Paid Social</c:v>
                </c:pt>
                <c:pt idx="5">
                  <c:v>Organic Social</c:v>
                </c:pt>
                <c:pt idx="6">
                  <c:v>Direct</c:v>
                </c:pt>
                <c:pt idx="7">
                  <c:v>Referral</c:v>
                </c:pt>
                <c:pt idx="8">
                  <c:v>Cross-network</c:v>
                </c:pt>
                <c:pt idx="9">
                  <c:v>Organic Shopping</c:v>
                </c:pt>
                <c:pt idx="10">
                  <c:v>Paid Other</c:v>
                </c:pt>
                <c:pt idx="11">
                  <c:v>Mobile Push Notifications</c:v>
                </c:pt>
                <c:pt idx="12">
                  <c:v>Organic Video</c:v>
                </c:pt>
              </c:strCache>
            </c:strRef>
          </c:cat>
          <c:val>
            <c:numRef>
              <c:f>'Traffic source'!$C$23:$C$35</c:f>
              <c:numCache>
                <c:formatCode>0.00</c:formatCode>
                <c:ptCount val="13"/>
                <c:pt idx="0">
                  <c:v>25.704904662069257</c:v>
                </c:pt>
                <c:pt idx="1">
                  <c:v>21.728003262455104</c:v>
                </c:pt>
                <c:pt idx="2">
                  <c:v>14.882598670967809</c:v>
                </c:pt>
                <c:pt idx="3">
                  <c:v>7.452365889916539</c:v>
                </c:pt>
                <c:pt idx="4">
                  <c:v>5.7680275914472094</c:v>
                </c:pt>
                <c:pt idx="5">
                  <c:v>3.9356414506074402</c:v>
                </c:pt>
                <c:pt idx="6">
                  <c:v>3.6439462461724532</c:v>
                </c:pt>
                <c:pt idx="7">
                  <c:v>0.46488242439451999</c:v>
                </c:pt>
                <c:pt idx="8">
                  <c:v>0.45333660973055123</c:v>
                </c:pt>
                <c:pt idx="9">
                  <c:v>0.19126840141442764</c:v>
                </c:pt>
                <c:pt idx="10">
                  <c:v>0.10739786093088022</c:v>
                </c:pt>
                <c:pt idx="11">
                  <c:v>1.8778287245926725E-2</c:v>
                </c:pt>
                <c:pt idx="12">
                  <c:v>1.0369448641602228E-2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('Traffic source'!$A$2:$A$9,'Traffic source'!$C$2:$C$9)</c15:f>
                <c15:dlblRangeCache>
                  <c:ptCount val="16"/>
                  <c:pt idx="0">
                    <c:v>Organic Search</c:v>
                  </c:pt>
                  <c:pt idx="1">
                    <c:v>Display</c:v>
                  </c:pt>
                  <c:pt idx="2">
                    <c:v>Paid Search</c:v>
                  </c:pt>
                  <c:pt idx="3">
                    <c:v>Unassigned</c:v>
                  </c:pt>
                  <c:pt idx="4">
                    <c:v>Paid Social</c:v>
                  </c:pt>
                  <c:pt idx="5">
                    <c:v>Direct</c:v>
                  </c:pt>
                  <c:pt idx="6">
                    <c:v>Organic Social</c:v>
                  </c:pt>
                  <c:pt idx="7">
                    <c:v>Referral</c:v>
                  </c:pt>
                  <c:pt idx="8">
                    <c:v>36.00</c:v>
                  </c:pt>
                  <c:pt idx="9">
                    <c:v>22.88</c:v>
                  </c:pt>
                  <c:pt idx="10">
                    <c:v>15.44</c:v>
                  </c:pt>
                  <c:pt idx="11">
                    <c:v>9.97</c:v>
                  </c:pt>
                  <c:pt idx="12">
                    <c:v>5.84</c:v>
                  </c:pt>
                  <c:pt idx="13">
                    <c:v>4.63</c:v>
                  </c:pt>
                  <c:pt idx="14">
                    <c:v>4.04</c:v>
                  </c:pt>
                  <c:pt idx="15">
                    <c:v>0.73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69A6-4833-A724-2606404AF0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Toyota Type Light" panose="020B0302020202020204" pitchFamily="34" charset="0"/>
                <a:ea typeface="+mn-ea"/>
                <a:cs typeface="Toyota Type Light" panose="020B0302020202020204" pitchFamily="34" charset="0"/>
              </a:defRPr>
            </a:pPr>
            <a:r>
              <a:rPr lang="en-US">
                <a:latin typeface="Toyota Type Light" panose="020B0302020202020204" pitchFamily="34" charset="0"/>
                <a:cs typeface="Toyota Type Light" panose="020B0302020202020204" pitchFamily="34" charset="0"/>
              </a:rPr>
              <a:t>Gender</a:t>
            </a:r>
          </a:p>
        </c:rich>
      </c:tx>
      <c:layout>
        <c:manualLayout>
          <c:xMode val="edge"/>
          <c:yMode val="edge"/>
          <c:x val="0.390398890090774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oyota Type Light" panose="020B0302020202020204" pitchFamily="34" charset="0"/>
              <a:ea typeface="+mn-ea"/>
              <a:cs typeface="Toyota Type Light" panose="020B0302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9801891046315"/>
          <c:y val="0.1194864830619852"/>
          <c:w val="0.6586474592942595"/>
          <c:h val="0.7632043383036705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1-640F-4F2C-982F-98652F74F8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3-640F-4F2C-982F-98652F74F8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40F-4F2C-982F-98652F74F899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'age&amp;gender'!$A$31:$A$33</c:f>
              <c:strCache>
                <c:ptCount val="3"/>
                <c:pt idx="0">
                  <c:v>unknown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'age&amp;gender'!$C$31:$C$33</c:f>
              <c:numCache>
                <c:formatCode>0.00%</c:formatCode>
                <c:ptCount val="3"/>
                <c:pt idx="0">
                  <c:v>0.71466065761474795</c:v>
                </c:pt>
                <c:pt idx="1">
                  <c:v>0.24071367948121386</c:v>
                </c:pt>
                <c:pt idx="2">
                  <c:v>4.571009810021244E-2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'age&amp;gender'!$A$31:$A$33</c15:sqref>
                        </c15:formulaRef>
                      </c:ext>
                    </c:extLst>
                    <c:strCache>
                      <c:ptCount val="3"/>
                      <c:pt idx="0">
                        <c:v>unknown</c:v>
                      </c:pt>
                      <c:pt idx="1">
                        <c:v>male</c:v>
                      </c:pt>
                      <c:pt idx="2">
                        <c:v>female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640F-4F2C-982F-98652F74F8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oyota Type Light" panose="020B0302020202020204" pitchFamily="34" charset="0"/>
                <a:ea typeface="+mn-ea"/>
                <a:cs typeface="Toyota Type Light" panose="020B0302020202020204" pitchFamily="34" charset="0"/>
              </a:defRPr>
            </a:pPr>
            <a:r>
              <a:rPr lang="en-US">
                <a:latin typeface="Toyota Type Light" panose="020B0302020202020204" pitchFamily="34" charset="0"/>
                <a:cs typeface="Toyota Type Light" panose="020B0302020202020204" pitchFamily="34" charset="0"/>
              </a:rPr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oyota Type Light" panose="020B0302020202020204" pitchFamily="34" charset="0"/>
              <a:ea typeface="+mn-ea"/>
              <a:cs typeface="Toyota Type Light" panose="020B0302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29152195799055"/>
          <c:y val="0.10928878526529906"/>
          <c:w val="0.83822348859465234"/>
          <c:h val="0.80730267316624937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'age&amp;gender'!$A$2:$A$8</c:f>
              <c:strCache>
                <c:ptCount val="7"/>
                <c:pt idx="0">
                  <c:v>unknown</c:v>
                </c:pt>
                <c:pt idx="1">
                  <c:v>25-34</c:v>
                </c:pt>
                <c:pt idx="2">
                  <c:v>35-44</c:v>
                </c:pt>
                <c:pt idx="3">
                  <c:v>18-24</c:v>
                </c:pt>
                <c:pt idx="4">
                  <c:v>45-54</c:v>
                </c:pt>
                <c:pt idx="5">
                  <c:v>55-64</c:v>
                </c:pt>
                <c:pt idx="6">
                  <c:v>65+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'age&amp;gender'!$A$2:$A$8</c:f>
              <c:strCache>
                <c:ptCount val="7"/>
                <c:pt idx="0">
                  <c:v>unknown</c:v>
                </c:pt>
                <c:pt idx="1">
                  <c:v>25-34</c:v>
                </c:pt>
                <c:pt idx="2">
                  <c:v>35-44</c:v>
                </c:pt>
                <c:pt idx="3">
                  <c:v>18-24</c:v>
                </c:pt>
                <c:pt idx="4">
                  <c:v>45-54</c:v>
                </c:pt>
                <c:pt idx="5">
                  <c:v>55-64</c:v>
                </c:pt>
                <c:pt idx="6">
                  <c:v>65+</c:v>
                </c:pt>
              </c:strCache>
            </c:strRef>
          </c:cat>
          <c:val>
            <c:numRef>
              <c:f>'age&amp;gender'!$C$2:$C$8</c:f>
              <c:numCache>
                <c:formatCode>0.00%</c:formatCode>
                <c:ptCount val="7"/>
                <c:pt idx="0">
                  <c:v>0.74469546062136527</c:v>
                </c:pt>
                <c:pt idx="1">
                  <c:v>8.5418986721877449E-2</c:v>
                </c:pt>
                <c:pt idx="2">
                  <c:v>6.145815361074658E-2</c:v>
                </c:pt>
                <c:pt idx="3">
                  <c:v>6.0003380963086508E-2</c:v>
                </c:pt>
                <c:pt idx="4">
                  <c:v>2.9656623114982371E-2</c:v>
                </c:pt>
                <c:pt idx="5">
                  <c:v>1.4885387094131938E-2</c:v>
                </c:pt>
                <c:pt idx="6">
                  <c:v>7.4546750528493326E-3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C2AE-4E0F-AA8D-CA294F3A006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18096431"/>
        <c:axId val="2376023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'age&amp;gender'!$A$3:$A$8</c15:sqref>
                        </c15:formulaRef>
                      </c:ext>
                    </c:extLst>
                    <c:strCache>
                      <c:ptCount val="6"/>
                      <c:pt idx="0">
                        <c:v>25-34</c:v>
                      </c:pt>
                      <c:pt idx="1">
                        <c:v>35-44</c:v>
                      </c:pt>
                      <c:pt idx="2">
                        <c:v>18-24</c:v>
                      </c:pt>
                      <c:pt idx="3">
                        <c:v>45-54</c:v>
                      </c:pt>
                      <c:pt idx="4">
                        <c:v>55-64</c:v>
                      </c:pt>
                      <c:pt idx="5">
                        <c:v>65+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2180855A-E9C3-4E27-AE05-4E62567F61F7}" type="CELLRANGE">
                            <a:rPr lang="en-US"/>
                            <a:pPr/>
                            <a:t>[CELLRANGE]</a:t>
                          </a:fld>
                          <a:r>
                            <a:rPr lang="en-US"/>
                            <a:t> %</a:t>
                          </a:r>
                        </a:p>
                      </c:rich>
                    </c:tx>
                    <c:dLblPos val="inBase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0-C2AE-4E0F-AA8D-CA294F3A0069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108A1C90-2211-4079-9372-185CFAAB6798}" type="CELLRANGE">
                            <a:rPr lang="en-US"/>
                            <a:pPr/>
                            <a:t>[CELLRANGE]</a:t>
                          </a:fld>
                          <a:r>
                            <a:rPr lang="en-US"/>
                            <a:t> %</a:t>
                          </a:r>
                        </a:p>
                      </c:rich>
                    </c:tx>
                    <c:dLblPos val="inBase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1-C2AE-4E0F-AA8D-CA294F3A0069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09251D30-22E1-4896-B17C-B6DB99532666}" type="CELLRANGE">
                            <a:rPr lang="en-US"/>
                            <a:pPr/>
                            <a:t>[CELLRANGE]</a:t>
                          </a:fld>
                          <a:r>
                            <a:rPr lang="en-US"/>
                            <a:t> %</a:t>
                          </a:r>
                        </a:p>
                      </c:rich>
                    </c:tx>
                    <c:dLblPos val="inBase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2-C2AE-4E0F-AA8D-CA294F3A0069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DAEFD41B-B47D-4581-B77E-47C6E11FD345}" type="CELLRANGE">
                            <a:rPr lang="en-US"/>
                            <a:pPr/>
                            <a:t>[CELLRANGE]</a:t>
                          </a:fld>
                          <a:r>
                            <a:rPr lang="en-US"/>
                            <a:t> %</a:t>
                          </a:r>
                        </a:p>
                      </c:rich>
                    </c:tx>
                    <c:dLblPos val="inBase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3-C2AE-4E0F-AA8D-CA294F3A0069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0684A8F3-7314-40B5-8631-2B2A7F1E2714}" type="CELLRANGE">
                            <a:rPr lang="en-US"/>
                            <a:pPr/>
                            <a:t>[CELLRANGE]</a:t>
                          </a:fld>
                          <a:r>
                            <a:rPr lang="en-US"/>
                            <a:t> %</a:t>
                          </a:r>
                        </a:p>
                      </c:rich>
                    </c:tx>
                    <c:dLblPos val="inBase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4-C2AE-4E0F-AA8D-CA294F3A0069}"/>
                      </c:ext>
                    </c:extLst>
                  </c:dLbl>
                  <c:dLbl>
                    <c:idx val="5"/>
                    <c:layout>
                      <c:manualLayout>
                        <c:x val="-9.8981622871747457E-2"/>
                        <c:y val="0"/>
                      </c:manualLayout>
                    </c:layout>
                    <c:tx>
                      <c:rich>
                        <a:bodyPr/>
                        <a:lstStyle/>
                        <a:p>
                          <a:r>
                            <a:rPr lang="en-US"/>
                            <a:t>1.27%</a:t>
                          </a:r>
                        </a:p>
                      </c:rich>
                    </c:tx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5-C2AE-4E0F-AA8D-CA294F3A0069}"/>
                      </c:ext>
                    </c:extLst>
                  </c:dLbl>
                  <c:numFmt formatCode="0.00%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97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DataLabelsRange val="1"/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'age&amp;gender'!$A$2:$A$8</c15:sqref>
                        </c15:formulaRef>
                      </c:ext>
                    </c:extLst>
                    <c:strCache>
                      <c:ptCount val="7"/>
                      <c:pt idx="0">
                        <c:v>unknown</c:v>
                      </c:pt>
                      <c:pt idx="1">
                        <c:v>25-34</c:v>
                      </c:pt>
                      <c:pt idx="2">
                        <c:v>35-44</c:v>
                      </c:pt>
                      <c:pt idx="3">
                        <c:v>18-24</c:v>
                      </c:pt>
                      <c:pt idx="4">
                        <c:v>45-54</c:v>
                      </c:pt>
                      <c:pt idx="5">
                        <c:v>55-64</c:v>
                      </c:pt>
                      <c:pt idx="6">
                        <c:v>65+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'age&amp;gender'!$C$3:$C$8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8.5418986721877449E-2</c:v>
                      </c:pt>
                      <c:pt idx="1">
                        <c:v>6.145815361074658E-2</c:v>
                      </c:pt>
                      <c:pt idx="2">
                        <c:v>6.0003380963086508E-2</c:v>
                      </c:pt>
                      <c:pt idx="3">
                        <c:v>2.9656623114982371E-2</c:v>
                      </c:pt>
                      <c:pt idx="4">
                        <c:v>1.4885387094131938E-2</c:v>
                      </c:pt>
                      <c:pt idx="5">
                        <c:v>7.4546750528493326E-3</c:v>
                      </c:pt>
                    </c:numCache>
                  </c:numRef>
                </c:val>
                <c:extLst>
                  <c:ext uri="{02D57815-91ED-43cb-92C2-25804820EDAC}">
                    <c15:datalabelsRange>
                      <c15:f>'age&amp;gender'!$C$3:$C$8</c15:f>
                      <c15:dlblRangeCache>
                        <c:ptCount val="6"/>
                        <c:pt idx="0">
                          <c:v>8.54%</c:v>
                        </c:pt>
                        <c:pt idx="1">
                          <c:v>6.15%</c:v>
                        </c:pt>
                        <c:pt idx="2">
                          <c:v>6.00%</c:v>
                        </c:pt>
                        <c:pt idx="3">
                          <c:v>2.97%</c:v>
                        </c:pt>
                        <c:pt idx="4">
                          <c:v>1.49%</c:v>
                        </c:pt>
                        <c:pt idx="5">
                          <c:v>0.75%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6-C2AE-4E0F-AA8D-CA294F3A0069}"/>
                  </c:ext>
                </c:extLst>
              </c15:ser>
            </c15:filteredBarSeries>
          </c:ext>
        </c:extLst>
      </c:barChart>
      <c:catAx>
        <c:axId val="318096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97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602319"/>
        <c:crossesAt val="0"/>
        <c:auto val="1"/>
        <c:lblAlgn val="ctr"/>
        <c:lblOffset val="100"/>
        <c:noMultiLvlLbl val="0"/>
      </c:catAx>
      <c:valAx>
        <c:axId val="2376023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9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7754945743722332"/>
          <c:y val="3.1372549019607843E-2"/>
          <c:w val="0.46105750773690601"/>
          <c:h val="0.865889146209664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sesionIntrest!$A$2:$A$11</c:f>
              <c:strCache>
                <c:ptCount val="10"/>
                <c:pt idx="0">
                  <c:v>Banking &amp; Finance/Avid Investors</c:v>
                </c:pt>
                <c:pt idx="1">
                  <c:v>Technology/Technophiles</c:v>
                </c:pt>
                <c:pt idx="2">
                  <c:v>News &amp; Politics/Avid News Readers/Entertainment News Enthusiasts</c:v>
                </c:pt>
                <c:pt idx="3">
                  <c:v>Sports &amp; Fitness/Sports Fans/Cricket Enthusiasts</c:v>
                </c:pt>
                <c:pt idx="4">
                  <c:v>Media &amp; Entertainment/Movie Lovers/Fans of South Asian Film</c:v>
                </c:pt>
                <c:pt idx="5">
                  <c:v>Travel/Travel Buffs</c:v>
                </c:pt>
                <c:pt idx="6">
                  <c:v>News &amp; Politics/Avid News Readers</c:v>
                </c:pt>
                <c:pt idx="7">
                  <c:v>News &amp; Politics/Avid News Readers/Avid Business News Readers</c:v>
                </c:pt>
                <c:pt idx="8">
                  <c:v>Vehicles &amp; Transportation/Auto Enthusiasts</c:v>
                </c:pt>
                <c:pt idx="9">
                  <c:v>Technology/Mobile Enthusiasts</c:v>
                </c:pt>
              </c:strCache>
            </c:strRef>
          </c:cat>
          <c:val>
            <c:numRef>
              <c:f>sesionIntrest!$B$2:$B$11</c:f>
              <c:numCache>
                <c:formatCode>#,##0_);\(#,##0\)</c:formatCode>
                <c:ptCount val="10"/>
                <c:pt idx="0">
                  <c:v>107763</c:v>
                </c:pt>
                <c:pt idx="1">
                  <c:v>89139</c:v>
                </c:pt>
                <c:pt idx="2">
                  <c:v>87759</c:v>
                </c:pt>
                <c:pt idx="3">
                  <c:v>85119</c:v>
                </c:pt>
                <c:pt idx="4">
                  <c:v>83474</c:v>
                </c:pt>
                <c:pt idx="5">
                  <c:v>81083</c:v>
                </c:pt>
                <c:pt idx="6">
                  <c:v>78930</c:v>
                </c:pt>
                <c:pt idx="7">
                  <c:v>78537</c:v>
                </c:pt>
                <c:pt idx="8">
                  <c:v>72882</c:v>
                </c:pt>
                <c:pt idx="9">
                  <c:v>70978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1-4580-99B3-A6E4478037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8171512"/>
        <c:axId val="588163968"/>
      </c:barChart>
      <c:catAx>
        <c:axId val="588171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63968"/>
        <c:crosses val="autoZero"/>
        <c:auto val="1"/>
        <c:lblAlgn val="ctr"/>
        <c:lblOffset val="100"/>
        <c:noMultiLvlLbl val="0"/>
      </c:catAx>
      <c:valAx>
        <c:axId val="58816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71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271852233507087E-2"/>
          <c:y val="6.3577520921045003E-2"/>
          <c:w val="0.91000472221308082"/>
          <c:h val="0.67318078829890005"/>
        </c:manualLayout>
      </c:layout>
      <c:lineChart>
        <c:grouping val="stacked"/>
        <c:varyColors val="0"/>
        <c:ser>
          <c:idx val="0"/>
          <c:order val="0"/>
          <c:tx>
            <c:strRef>
              <c:f>'Dealer-Website'!$B$1</c:f>
              <c:strCache>
                <c:ptCount val="1"/>
                <c:pt idx="0">
                  <c:v>Visits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3.7191418243315728E-4"/>
                  <c:y val="8.902335895364323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8D-445C-A3D2-723B1C4BD714}"/>
                </c:ext>
              </c:extLst>
            </c:dLbl>
            <c:dLbl>
              <c:idx val="1"/>
              <c:layout>
                <c:manualLayout>
                  <c:x val="-1.1524056467876501E-3"/>
                  <c:y val="-1.3422818791946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8D-445C-A3D2-723B1C4BD714}"/>
                </c:ext>
              </c:extLst>
            </c:dLbl>
            <c:dLbl>
              <c:idx val="2"/>
              <c:layout>
                <c:manualLayout>
                  <c:x val="-1.9061048331301705E-2"/>
                  <c:y val="-2.5607276417417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8D-445C-A3D2-723B1C4BD714}"/>
                </c:ext>
              </c:extLst>
            </c:dLbl>
            <c:dLbl>
              <c:idx val="3"/>
              <c:layout>
                <c:manualLayout>
                  <c:x val="-2.4825662482566877E-2"/>
                  <c:y val="-2.6425622811468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8D-445C-A3D2-723B1C4BD714}"/>
                </c:ext>
              </c:extLst>
            </c:dLbl>
            <c:dLbl>
              <c:idx val="4"/>
              <c:layout>
                <c:manualLayout>
                  <c:x val="-2.5476668972864276E-2"/>
                  <c:y val="-2.91755773965008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8D-445C-A3D2-723B1C4BD714}"/>
                </c:ext>
              </c:extLst>
            </c:dLbl>
            <c:dLbl>
              <c:idx val="5"/>
              <c:layout>
                <c:manualLayout>
                  <c:x val="-2.6034402603440292E-2"/>
                  <c:y val="-3.5003977724742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8D-445C-A3D2-723B1C4BD714}"/>
                </c:ext>
              </c:extLst>
            </c:dLbl>
            <c:dLbl>
              <c:idx val="6"/>
              <c:layout>
                <c:manualLayout>
                  <c:x val="-3.5146589939855824E-2"/>
                  <c:y val="-3.02875863667399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8D-445C-A3D2-723B1C4BD714}"/>
                </c:ext>
              </c:extLst>
            </c:dLbl>
            <c:dLbl>
              <c:idx val="7"/>
              <c:layout>
                <c:manualLayout>
                  <c:x val="-3.4402749865471836E-2"/>
                  <c:y val="-3.44860591710045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8D-445C-A3D2-723B1C4BD714}"/>
                </c:ext>
              </c:extLst>
            </c:dLbl>
            <c:dLbl>
              <c:idx val="8"/>
              <c:layout>
                <c:manualLayout>
                  <c:x val="-2.9753602975360411E-2"/>
                  <c:y val="-3.1821797931583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8D-445C-A3D2-723B1C4BD714}"/>
                </c:ext>
              </c:extLst>
            </c:dLbl>
            <c:dLbl>
              <c:idx val="9"/>
              <c:layout>
                <c:manualLayout>
                  <c:x val="-3.6169370042133851E-2"/>
                  <c:y val="-3.4731863767626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8D-445C-A3D2-723B1C4BD714}"/>
                </c:ext>
              </c:extLst>
            </c:dLbl>
            <c:dLbl>
              <c:idx val="10"/>
              <c:layout>
                <c:manualLayout>
                  <c:x val="-3.5425383542538352E-2"/>
                  <c:y val="-3.3377808680836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F8D-445C-A3D2-723B1C4BD714}"/>
                </c:ext>
              </c:extLst>
            </c:dLbl>
            <c:dLbl>
              <c:idx val="11"/>
              <c:layout>
                <c:manualLayout>
                  <c:x val="-3.282208970740582E-2"/>
                  <c:y val="-3.3267309366758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8D-445C-A3D2-723B1C4BD714}"/>
                </c:ext>
              </c:extLst>
            </c:dLbl>
            <c:dLbl>
              <c:idx val="12"/>
              <c:layout>
                <c:manualLayout>
                  <c:x val="-3.6727250097921861E-2"/>
                  <c:y val="-3.23121542981351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F8D-445C-A3D2-723B1C4BD714}"/>
                </c:ext>
              </c:extLst>
            </c:dLbl>
            <c:dLbl>
              <c:idx val="13"/>
              <c:layout>
                <c:manualLayout>
                  <c:x val="-3.9702610395457888E-2"/>
                  <c:y val="-3.2624358709337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F8D-445C-A3D2-723B1C4BD714}"/>
                </c:ext>
              </c:extLst>
            </c:dLbl>
            <c:dLbl>
              <c:idx val="14"/>
              <c:layout>
                <c:manualLayout>
                  <c:x val="-2.2315202231520292E-2"/>
                  <c:y val="-3.1821797931583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F8D-445C-A3D2-723B1C4BD714}"/>
                </c:ext>
              </c:extLst>
            </c:dLbl>
            <c:dLbl>
              <c:idx val="15"/>
              <c:layout>
                <c:manualLayout>
                  <c:x val="-2.7894002789401042E-2"/>
                  <c:y val="-3.1821797931583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F8D-445C-A3D2-723B1C4BD714}"/>
                </c:ext>
              </c:extLst>
            </c:dLbl>
            <c:dLbl>
              <c:idx val="16"/>
              <c:layout>
                <c:manualLayout>
                  <c:x val="-2.4174802417480292E-2"/>
                  <c:y val="-3.91109095656240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F8D-445C-A3D2-723B1C4BD714}"/>
                </c:ext>
              </c:extLst>
            </c:dLbl>
            <c:dLbl>
              <c:idx val="17"/>
              <c:layout>
                <c:manualLayout>
                  <c:x val="0"/>
                  <c:y val="-2.0942408376963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F8D-445C-A3D2-723B1C4BD71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IN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'Dealer-Website'!$A$2:$A$16</c:f>
              <c:strCache>
                <c:ptCount val="15"/>
                <c:pt idx="0">
                  <c:v>Ravindu Toyota</c:v>
                </c:pt>
                <c:pt idx="1">
                  <c:v>Millennium Toyota</c:v>
                </c:pt>
                <c:pt idx="2">
                  <c:v>Uttam Toyota</c:v>
                </c:pt>
                <c:pt idx="3">
                  <c:v>Nippon Toyota</c:v>
                </c:pt>
                <c:pt idx="4">
                  <c:v>Amana Toyota</c:v>
                </c:pt>
                <c:pt idx="5">
                  <c:v>Nandi Toyota</c:v>
                </c:pt>
                <c:pt idx="6">
                  <c:v>Harsha Toyota</c:v>
                </c:pt>
                <c:pt idx="7">
                  <c:v>Lanson Toyota</c:v>
                </c:pt>
                <c:pt idx="8">
                  <c:v>Anaamalais Toyota Trichy</c:v>
                </c:pt>
                <c:pt idx="9">
                  <c:v>Viva Toyota</c:v>
                </c:pt>
                <c:pt idx="10">
                  <c:v>Budha Toyota</c:v>
                </c:pt>
                <c:pt idx="11">
                  <c:v>Topsel Toyota</c:v>
                </c:pt>
                <c:pt idx="12">
                  <c:v>Globe Toyota</c:v>
                </c:pt>
                <c:pt idx="13">
                  <c:v> J D Toyota</c:v>
                </c:pt>
                <c:pt idx="14">
                  <c:v>Saini Toyota</c:v>
                </c:pt>
              </c:strCache>
            </c:strRef>
          </c:cat>
          <c:val>
            <c:numRef>
              <c:f>'Dealer-Website'!$B$2:$B$16</c:f>
              <c:numCache>
                <c:formatCode>General</c:formatCode>
                <c:ptCount val="15"/>
                <c:pt idx="0">
                  <c:v>19843</c:v>
                </c:pt>
                <c:pt idx="1">
                  <c:v>15560</c:v>
                </c:pt>
                <c:pt idx="2">
                  <c:v>15256</c:v>
                </c:pt>
                <c:pt idx="3">
                  <c:v>14535</c:v>
                </c:pt>
                <c:pt idx="4">
                  <c:v>9640</c:v>
                </c:pt>
                <c:pt idx="5">
                  <c:v>8309</c:v>
                </c:pt>
                <c:pt idx="6">
                  <c:v>7741</c:v>
                </c:pt>
                <c:pt idx="7">
                  <c:v>7534</c:v>
                </c:pt>
                <c:pt idx="8">
                  <c:v>7417</c:v>
                </c:pt>
                <c:pt idx="9">
                  <c:v>6283</c:v>
                </c:pt>
                <c:pt idx="10">
                  <c:v>4750</c:v>
                </c:pt>
                <c:pt idx="11">
                  <c:v>4289</c:v>
                </c:pt>
                <c:pt idx="12">
                  <c:v>4256</c:v>
                </c:pt>
                <c:pt idx="13">
                  <c:v>4178</c:v>
                </c:pt>
                <c:pt idx="14">
                  <c:v>3602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F8D-445C-A3D2-723B1C4BD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49904920"/>
        <c:axId val="449902960"/>
      </c:lineChart>
      <c:catAx>
        <c:axId val="449904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9902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49902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9904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cs:styleClr val="auto"/>
    </cs:fontRef>
    <cs:defRPr sz="133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33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cs:styleClr val="auto"/>
    </cs:fontRef>
    <cs:defRPr sz="133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33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lt1"/>
    </cs:fontRef>
    <cs:defRPr sz="1197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22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1197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1197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lt1"/>
    </cs:fontRef>
    <cs:defRPr sz="1197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197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1197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22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28575</xdr:rowOff>
    </xdr:from>
    <xdr:to>
      <xdr:col>18</xdr:col>
      <xdr:colOff>134144</xdr:colOff>
      <xdr:row>14</xdr:row>
      <xdr:rowOff>19050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323849</xdr:colOff>
      <xdr:row>59</xdr:row>
      <xdr:rowOff>95249</xdr:rowOff>
    </xdr:from>
    <xdr:to>
      <xdr:col>19</xdr:col>
      <xdr:colOff>57149</xdr:colOff>
      <xdr:row>73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257174</xdr:colOff>
      <xdr:row>42</xdr:row>
      <xdr:rowOff>104775</xdr:rowOff>
    </xdr:from>
    <xdr:to>
      <xdr:col>19</xdr:col>
      <xdr:colOff>85724</xdr:colOff>
      <xdr:row>57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12</xdr:row>
      <xdr:rowOff>114300</xdr:rowOff>
    </xdr:from>
    <xdr:to>
      <xdr:col>18</xdr:col>
      <xdr:colOff>238125</xdr:colOff>
      <xdr:row>27</xdr:row>
      <xdr:rowOff>152400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382734</xdr:colOff>
      <xdr:row>1</xdr:row>
      <xdr:rowOff>26489</xdr:rowOff>
    </xdr:from>
    <xdr:to>
      <xdr:col>17</xdr:col>
      <xdr:colOff>290386</xdr:colOff>
      <xdr:row>27</xdr:row>
      <xdr:rowOff>89698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601806</xdr:colOff>
      <xdr:row>1</xdr:row>
      <xdr:rowOff>0</xdr:rowOff>
    </xdr:from>
    <xdr:to>
      <xdr:col>29</xdr:col>
      <xdr:colOff>214745</xdr:colOff>
      <xdr:row>29</xdr:row>
      <xdr:rowOff>41522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530800</xdr:colOff>
      <xdr:row>0</xdr:row>
      <xdr:rowOff>142873</xdr:rowOff>
    </xdr:from>
    <xdr:to>
      <xdr:col>15</xdr:col>
      <xdr:colOff>47626</xdr:colOff>
      <xdr:row>28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219075</xdr:rowOff>
    </xdr:from>
    <xdr:to>
      <xdr:col>14</xdr:col>
      <xdr:colOff>9525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342902</xdr:colOff>
      <xdr:row>20</xdr:row>
      <xdr:rowOff>0</xdr:rowOff>
    </xdr:from>
    <xdr:to>
      <xdr:col>14</xdr:col>
      <xdr:colOff>352425</xdr:colOff>
      <xdr:row>37</xdr:row>
      <xdr:rowOff>219076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28</xdr:row>
      <xdr:rowOff>66675</xdr:rowOff>
    </xdr:from>
    <xdr:to>
      <xdr:col>13</xdr:col>
      <xdr:colOff>247650</xdr:colOff>
      <xdr:row>57</xdr:row>
      <xdr:rowOff>67599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714374</xdr:colOff>
      <xdr:row>0</xdr:row>
      <xdr:rowOff>9525</xdr:rowOff>
    </xdr:from>
    <xdr:to>
      <xdr:col>14</xdr:col>
      <xdr:colOff>47625</xdr:colOff>
      <xdr:row>25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5762E9-8DDA-45AE-893A-61911FCD7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533398</xdr:colOff>
      <xdr:row>1</xdr:row>
      <xdr:rowOff>38100</xdr:rowOff>
    </xdr:from>
    <xdr:to>
      <xdr:col>18</xdr:col>
      <xdr:colOff>171449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2</xdr:row>
      <xdr:rowOff>40641</xdr:rowOff>
    </xdr:from>
    <xdr:to>
      <xdr:col>15</xdr:col>
      <xdr:colOff>1650999</xdr:colOff>
      <xdr:row>19</xdr:row>
      <xdr:rowOff>241300</xdr:rowOff>
    </xdr:to>
    <xdr:graphicFrame macro="">
      <xdr:nvGraphicFramePr>
        <xdr:cNvPr id="22545" name="Chart 2">
          <a:extLst>
            <a:ext uri="{FF2B5EF4-FFF2-40B4-BE49-F238E27FC236}">
              <a16:creationId xmlns:a16="http://schemas.microsoft.com/office/drawing/2014/main" id="{00000000-0008-0000-0800-0000115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FC081-6C46-4E53-9267-BAF81996909E}" name="Table1879101112131415161718192021222324252627282930313233343536373839404142434448495152535455565758596263646568697071" displayName="Table1879101112131415161718192021222324252627282930313233343536373839404142434448495152535455565758596263646568697071" ref="A4:I21" totalsRowShown="0" dataDxfId="18">
  <autoFilter ref="A4:I21" xr:uid="{1EB51B47-C1FF-4760-9530-01D436D33BB1}"/>
  <tableColumns count="9">
    <tableColumn id="1" xr3:uid="{1909B0A1-5B70-4152-94E5-A44312902E33}" name="Sl. No." dataDxfId="17"/>
    <tableColumn id="2" xr3:uid="{008B6AAC-F9F9-4E37-AC41-3CB528F2D05D}" name="Pages" dataDxfId="16"/>
    <tableColumn id="3" xr3:uid="{7E3C85DB-6DC9-46F4-8838-268B08B02CC7}" name="Avg. Load Time" dataDxfId="15"/>
    <tableColumn id="4" xr3:uid="{B3096CA1-851F-4465-B47E-27C7C130E61E}" name="Bounce Rate" dataDxfId="14"/>
    <tableColumn id="5" xr3:uid="{F1EC1DE0-FFC2-4438-A462-63989F079BE4}" name="Time Spent" dataDxfId="13"/>
    <tableColumn id="6" xr3:uid="{457378C2-C981-4342-82B1-430CB89FC655}" name="Total Pageviews" dataDxfId="12"/>
    <tableColumn id="7" xr3:uid="{3CD82E4C-883F-41B7-871B-5A39A6CAA8F8}" name="Per day Avg" dataDxfId="11" dataCellStyle="Comma">
      <calculatedColumnFormula>Table1879101112131415161718192021222324252627282930313233343536373839404142434448495152535455565758596263646568697071[[#This Row],[Total Pageviews]]/30</calculatedColumnFormula>
    </tableColumn>
    <tableColumn id="8" xr3:uid="{06F271D9-835E-47F3-A0D4-3ECB3E5E4B7A}" name="Total Unique Pageviews" dataDxfId="10"/>
    <tableColumn id="9" xr3:uid="{7BF529C4-51C7-44FD-A3D1-8C36160BE383}" name="Per day Avg." dataDxfId="9" dataCellStyle="Comma">
      <calculatedColumnFormula>Table1879101112131415161718192021222324252627282930313233343536373839404142434448495152535455565758596263646568697071[[#This Row],[Total Unique Pageviews]]/30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C83CC9-9A64-4EFF-9841-BF51E46397BF}" name="Table18791011121314151617181920212223242526272829303132333435363738394041424344484951525354555657585962636465686970713" displayName="Table18791011121314151617181920212223242526272829303132333435363738394041424344484951525354555657585962636465686970713" ref="A45:H62" totalsRowShown="0" dataDxfId="8">
  <autoFilter ref="A45:H62" xr:uid="{9CB322C2-810E-459A-8D13-654A0209FACD}"/>
  <tableColumns count="8">
    <tableColumn id="1" xr3:uid="{FA6FA5F9-7B65-43A1-916D-56C282BB01C9}" name="Sl. No." dataDxfId="7"/>
    <tableColumn id="2" xr3:uid="{87C0F877-9BC4-40DB-93DB-B747FB42231B}" name="Pages" dataDxfId="6"/>
    <tableColumn id="4" xr3:uid="{B07D41B2-B3E0-4CF1-BAE5-CA693933456B}" name="Bounce Rate" dataDxfId="5"/>
    <tableColumn id="5" xr3:uid="{DA7CDFF8-77E5-4941-863A-A630B8C73A56}" name="Time Spent" dataDxfId="4"/>
    <tableColumn id="6" xr3:uid="{034DA3A3-54C1-47FC-A8EB-509B6B35E96F}" name="Total Pageviews" dataDxfId="3"/>
    <tableColumn id="7" xr3:uid="{E1728054-F1A8-43D1-B047-78578AD3EFBA}" name="Per day Avg" dataDxfId="2" dataCellStyle="Comma">
      <calculatedColumnFormula>Table18791011121314151617181920212223242526272829303132333435363738394041424344484951525354555657585962636465686970713[[#This Row],[Total Pageviews]]/181</calculatedColumnFormula>
    </tableColumn>
    <tableColumn id="8" xr3:uid="{73D5BA6F-8421-41B3-BA3D-303B43849196}" name="Total Unique Pageviews" dataDxfId="1"/>
    <tableColumn id="9" xr3:uid="{4ED76246-E57C-4574-BE01-813E3AD5ADD6}" name="Per day Avg." dataDxfId="0" dataCellStyle="Comma">
      <calculatedColumnFormula>Table18791011121314151617181920212223242526272829303132333435363738394041424344484951525354555657585962636465686970713[[#This Row],[Total Unique Pageviews]]/181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6C03-189E-467D-A25C-E7B50AE1CD7D}">
  <dimension ref="A1:H16"/>
  <sheetViews>
    <sheetView workbookViewId="0">
      <selection activeCell="E18" sqref="E18"/>
    </sheetView>
  </sheetViews>
  <sheetFormatPr defaultRowHeight="12.75"/>
  <cols>
    <col min="1" max="2" width="15.140625" bestFit="1" customWidth="1"/>
    <col min="3" max="3" width="41.28515625" customWidth="1"/>
    <col min="4" max="4" width="15.140625" bestFit="1" customWidth="1"/>
    <col min="5" max="9" width="13.85546875" bestFit="1" customWidth="1"/>
    <col min="12" max="12" width="19.5703125" bestFit="1" customWidth="1"/>
    <col min="13" max="13" width="13.85546875" bestFit="1" customWidth="1"/>
  </cols>
  <sheetData>
    <row r="1" spans="1:8" ht="41.25" thickBot="1">
      <c r="A1" s="21" t="s">
        <v>232</v>
      </c>
      <c r="B1" s="21" t="s">
        <v>231</v>
      </c>
      <c r="C1" s="9" t="s">
        <v>129</v>
      </c>
    </row>
    <row r="2" spans="1:8" ht="18.75" thickBot="1">
      <c r="A2" s="307">
        <v>1815975</v>
      </c>
      <c r="B2" s="307">
        <v>1452406</v>
      </c>
      <c r="C2" s="10">
        <f>SUM(A2-B2)/B2*100</f>
        <v>25.032187969479608</v>
      </c>
      <c r="E2" s="189"/>
    </row>
    <row r="3" spans="1:8" ht="18.75" thickBot="1">
      <c r="A3" s="308">
        <v>148616</v>
      </c>
      <c r="B3" s="308">
        <v>127069</v>
      </c>
      <c r="C3" s="10">
        <f t="shared" ref="C3:C10" si="0">SUM(A3-B3)/B3*100</f>
        <v>16.956928912638016</v>
      </c>
      <c r="E3" s="367"/>
    </row>
    <row r="4" spans="1:8" ht="18.75" thickBot="1">
      <c r="A4" s="307">
        <v>1649903</v>
      </c>
      <c r="B4" s="307">
        <v>1281828</v>
      </c>
      <c r="C4" s="10">
        <f t="shared" si="0"/>
        <v>28.714850978446403</v>
      </c>
      <c r="E4" s="189"/>
    </row>
    <row r="5" spans="1:8" ht="18.75" thickBot="1">
      <c r="A5" s="309">
        <v>1.74</v>
      </c>
      <c r="B5" s="309">
        <v>1.71</v>
      </c>
      <c r="C5" s="10">
        <f t="shared" si="0"/>
        <v>1.7543859649122824</v>
      </c>
      <c r="E5" s="368"/>
    </row>
    <row r="6" spans="1:8" ht="18.75" thickBot="1">
      <c r="A6" s="310">
        <v>1.6319444444444445E-3</v>
      </c>
      <c r="B6" s="310">
        <v>1.736111111111111E-3</v>
      </c>
      <c r="C6" s="10">
        <f t="shared" si="0"/>
        <v>-5.9999999999999885</v>
      </c>
      <c r="E6" s="369"/>
    </row>
    <row r="7" spans="1:8" ht="18.75" thickBot="1">
      <c r="A7" s="307">
        <v>2306319</v>
      </c>
      <c r="B7" s="307">
        <v>1883860</v>
      </c>
      <c r="C7" s="10">
        <f t="shared" si="0"/>
        <v>22.425180215090293</v>
      </c>
      <c r="E7" s="189"/>
    </row>
    <row r="8" spans="1:8" ht="18.75" thickBot="1">
      <c r="A8" s="308">
        <v>4009027</v>
      </c>
      <c r="B8" s="308">
        <v>3322431</v>
      </c>
      <c r="C8" s="10">
        <f t="shared" si="0"/>
        <v>20.665470554542743</v>
      </c>
      <c r="E8" s="367"/>
    </row>
    <row r="9" spans="1:8" ht="18.75" thickBot="1">
      <c r="A9" s="307">
        <v>6252</v>
      </c>
      <c r="B9" s="308">
        <v>5807</v>
      </c>
      <c r="C9" s="10">
        <f t="shared" si="0"/>
        <v>7.6631651455140348</v>
      </c>
      <c r="E9" s="189"/>
    </row>
    <row r="10" spans="1:8" ht="18.75" thickBot="1">
      <c r="A10" s="311">
        <v>34</v>
      </c>
      <c r="B10" s="311">
        <v>36</v>
      </c>
      <c r="C10" s="10">
        <f t="shared" si="0"/>
        <v>-5.5555555555555554</v>
      </c>
      <c r="E10" s="186"/>
    </row>
    <row r="12" spans="1:8" ht="40.5" customHeight="1"/>
    <row r="13" spans="1:8" ht="21" customHeight="1"/>
    <row r="14" spans="1:8" ht="14.25">
      <c r="F14" s="11"/>
      <c r="G14" s="79"/>
      <c r="H14" s="80"/>
    </row>
    <row r="15" spans="1:8" ht="14.25">
      <c r="F15" s="11"/>
      <c r="G15" s="79"/>
      <c r="H15" s="80"/>
    </row>
    <row r="16" spans="1:8" ht="14.25">
      <c r="G16" s="79"/>
      <c r="H16" s="8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FE52-AD51-453D-A844-75F3742E62D0}">
  <dimension ref="A1:N17"/>
  <sheetViews>
    <sheetView workbookViewId="0">
      <selection activeCell="D41" sqref="D41"/>
    </sheetView>
  </sheetViews>
  <sheetFormatPr defaultRowHeight="12.75"/>
  <cols>
    <col min="1" max="1" width="19.85546875" customWidth="1"/>
    <col min="2" max="2" width="16.5703125" bestFit="1" customWidth="1"/>
    <col min="3" max="3" width="8.42578125" bestFit="1" customWidth="1"/>
    <col min="4" max="4" width="10.7109375" bestFit="1" customWidth="1"/>
    <col min="5" max="5" width="11.7109375" bestFit="1" customWidth="1"/>
    <col min="6" max="6" width="8.7109375" bestFit="1" customWidth="1"/>
    <col min="7" max="7" width="18.7109375" bestFit="1" customWidth="1"/>
    <col min="8" max="8" width="7" bestFit="1" customWidth="1"/>
    <col min="9" max="9" width="8.85546875" bestFit="1" customWidth="1"/>
    <col min="10" max="10" width="26.42578125" bestFit="1" customWidth="1"/>
    <col min="11" max="11" width="24.42578125" bestFit="1" customWidth="1"/>
    <col min="12" max="12" width="20.140625" bestFit="1" customWidth="1"/>
    <col min="13" max="13" width="9.85546875" bestFit="1" customWidth="1"/>
    <col min="14" max="14" width="7" bestFit="1" customWidth="1"/>
  </cols>
  <sheetData>
    <row r="1" spans="1:14" ht="15.75">
      <c r="A1" s="330" t="s">
        <v>2</v>
      </c>
      <c r="B1" s="330" t="s">
        <v>170</v>
      </c>
      <c r="C1" s="330" t="s">
        <v>179</v>
      </c>
      <c r="D1" s="330" t="s">
        <v>175</v>
      </c>
      <c r="E1" s="330" t="s">
        <v>177</v>
      </c>
      <c r="F1" s="330" t="s">
        <v>181</v>
      </c>
      <c r="G1" s="330" t="s">
        <v>172</v>
      </c>
      <c r="H1" s="330" t="s">
        <v>174</v>
      </c>
      <c r="I1" s="330" t="s">
        <v>162</v>
      </c>
      <c r="J1" s="330" t="s">
        <v>168</v>
      </c>
      <c r="K1" s="330" t="s">
        <v>164</v>
      </c>
      <c r="L1" s="330" t="s">
        <v>183</v>
      </c>
      <c r="M1" s="330" t="s">
        <v>166</v>
      </c>
      <c r="N1" s="328"/>
    </row>
    <row r="2" spans="1:14" ht="15">
      <c r="A2" s="324" t="s">
        <v>241</v>
      </c>
      <c r="B2" s="325">
        <v>461</v>
      </c>
      <c r="C2" s="325">
        <v>197</v>
      </c>
      <c r="D2" s="325">
        <v>535</v>
      </c>
      <c r="E2" s="325">
        <v>238</v>
      </c>
      <c r="F2" s="325">
        <v>61</v>
      </c>
      <c r="G2" s="325">
        <v>1260</v>
      </c>
      <c r="H2" s="325">
        <v>195</v>
      </c>
      <c r="I2" s="325">
        <v>386</v>
      </c>
      <c r="J2" s="325">
        <v>1137</v>
      </c>
      <c r="K2" s="325">
        <v>495</v>
      </c>
      <c r="L2" s="325">
        <v>118</v>
      </c>
      <c r="M2" s="325">
        <v>250</v>
      </c>
      <c r="N2" s="328"/>
    </row>
    <row r="3" spans="1:14" ht="15">
      <c r="A3" s="324" t="s">
        <v>242</v>
      </c>
      <c r="B3" s="325">
        <v>378</v>
      </c>
      <c r="C3" s="325">
        <v>191</v>
      </c>
      <c r="D3" s="325">
        <v>493</v>
      </c>
      <c r="E3" s="325">
        <v>233</v>
      </c>
      <c r="F3" s="325">
        <v>145</v>
      </c>
      <c r="G3" s="325">
        <v>1160</v>
      </c>
      <c r="H3" s="325">
        <v>178</v>
      </c>
      <c r="I3" s="325">
        <v>396</v>
      </c>
      <c r="J3" s="325">
        <v>1124</v>
      </c>
      <c r="K3" s="325">
        <v>433</v>
      </c>
      <c r="L3" s="325">
        <v>110</v>
      </c>
      <c r="M3" s="325">
        <v>236</v>
      </c>
      <c r="N3" s="328"/>
    </row>
    <row r="4" spans="1:14" ht="15">
      <c r="A4" s="324" t="s">
        <v>243</v>
      </c>
      <c r="B4" s="325">
        <v>414</v>
      </c>
      <c r="C4" s="325">
        <v>185</v>
      </c>
      <c r="D4" s="325">
        <v>637</v>
      </c>
      <c r="E4" s="325">
        <v>245</v>
      </c>
      <c r="F4" s="325">
        <v>463</v>
      </c>
      <c r="G4" s="325">
        <v>1157</v>
      </c>
      <c r="H4" s="325">
        <v>170</v>
      </c>
      <c r="I4" s="325">
        <v>458</v>
      </c>
      <c r="J4" s="325">
        <v>1061</v>
      </c>
      <c r="K4" s="325">
        <v>439</v>
      </c>
      <c r="L4" s="325">
        <v>100</v>
      </c>
      <c r="M4" s="325">
        <v>236</v>
      </c>
      <c r="N4" s="328"/>
    </row>
    <row r="5" spans="1:14" ht="15">
      <c r="A5" s="324" t="s">
        <v>423</v>
      </c>
      <c r="B5" s="325">
        <v>414</v>
      </c>
      <c r="C5" s="325">
        <v>220</v>
      </c>
      <c r="D5" s="325">
        <v>584</v>
      </c>
      <c r="E5" s="325">
        <v>257</v>
      </c>
      <c r="F5" s="325">
        <v>263</v>
      </c>
      <c r="G5" s="325">
        <v>1046</v>
      </c>
      <c r="H5" s="325">
        <v>180</v>
      </c>
      <c r="I5" s="325">
        <v>491</v>
      </c>
      <c r="J5" s="325">
        <v>1132</v>
      </c>
      <c r="K5" s="325">
        <v>466</v>
      </c>
      <c r="L5" s="325">
        <v>342</v>
      </c>
      <c r="M5" s="325">
        <v>217</v>
      </c>
      <c r="N5" s="328"/>
    </row>
    <row r="6" spans="1:14" ht="15">
      <c r="A6" s="324" t="s">
        <v>450</v>
      </c>
      <c r="B6" s="325">
        <v>455</v>
      </c>
      <c r="C6" s="325">
        <v>187</v>
      </c>
      <c r="D6" s="325">
        <v>518</v>
      </c>
      <c r="E6" s="325">
        <v>247</v>
      </c>
      <c r="F6" s="325">
        <v>123</v>
      </c>
      <c r="G6" s="325">
        <v>1003</v>
      </c>
      <c r="H6" s="325">
        <v>205</v>
      </c>
      <c r="I6" s="325">
        <v>460</v>
      </c>
      <c r="J6" s="325">
        <v>1084</v>
      </c>
      <c r="K6" s="325">
        <v>477</v>
      </c>
      <c r="L6" s="325">
        <v>830</v>
      </c>
      <c r="M6" s="325">
        <v>218</v>
      </c>
      <c r="N6" s="328"/>
    </row>
    <row r="7" spans="1:14" ht="15">
      <c r="A7" s="324" t="s">
        <v>472</v>
      </c>
      <c r="B7" s="325">
        <v>597</v>
      </c>
      <c r="C7" s="325">
        <v>175</v>
      </c>
      <c r="D7" s="325">
        <v>608</v>
      </c>
      <c r="E7" s="325">
        <v>278</v>
      </c>
      <c r="F7" s="325">
        <v>98</v>
      </c>
      <c r="G7" s="325">
        <v>1182</v>
      </c>
      <c r="H7" s="325">
        <v>241</v>
      </c>
      <c r="I7" s="325">
        <v>483</v>
      </c>
      <c r="J7" s="325">
        <v>1237</v>
      </c>
      <c r="K7" s="325">
        <v>721</v>
      </c>
      <c r="L7" s="325">
        <v>417</v>
      </c>
      <c r="M7" s="325">
        <v>215</v>
      </c>
      <c r="N7" s="328"/>
    </row>
    <row r="8" spans="1:14" ht="15">
      <c r="A8" s="324" t="s">
        <v>609</v>
      </c>
      <c r="B8" s="325">
        <v>537</v>
      </c>
      <c r="C8" s="325">
        <v>162</v>
      </c>
      <c r="D8" s="325">
        <v>721</v>
      </c>
      <c r="E8" s="325">
        <v>269</v>
      </c>
      <c r="F8" s="325">
        <v>114</v>
      </c>
      <c r="G8" s="325">
        <v>1207</v>
      </c>
      <c r="H8" s="325">
        <v>175</v>
      </c>
      <c r="I8" s="325">
        <v>470</v>
      </c>
      <c r="J8" s="325">
        <v>1215</v>
      </c>
      <c r="K8" s="325">
        <v>580</v>
      </c>
      <c r="L8" s="325">
        <v>456</v>
      </c>
      <c r="M8" s="325">
        <v>274</v>
      </c>
      <c r="N8" s="329">
        <f>SUM(B8:M8)</f>
        <v>6180</v>
      </c>
    </row>
    <row r="9" spans="1:14" ht="15">
      <c r="A9" s="324" t="s">
        <v>244</v>
      </c>
      <c r="B9" s="325">
        <f>SUM(B2:B8)</f>
        <v>3256</v>
      </c>
      <c r="C9" s="325">
        <f t="shared" ref="C9:M9" si="0">SUM(C2:C8)</f>
        <v>1317</v>
      </c>
      <c r="D9" s="325">
        <f t="shared" si="0"/>
        <v>4096</v>
      </c>
      <c r="E9" s="325">
        <f t="shared" si="0"/>
        <v>1767</v>
      </c>
      <c r="F9" s="325">
        <f t="shared" si="0"/>
        <v>1267</v>
      </c>
      <c r="G9" s="325">
        <f t="shared" si="0"/>
        <v>8015</v>
      </c>
      <c r="H9" s="325">
        <f t="shared" si="0"/>
        <v>1344</v>
      </c>
      <c r="I9" s="325">
        <f t="shared" si="0"/>
        <v>3144</v>
      </c>
      <c r="J9" s="325">
        <f t="shared" si="0"/>
        <v>7990</v>
      </c>
      <c r="K9" s="325">
        <f t="shared" si="0"/>
        <v>3611</v>
      </c>
      <c r="L9" s="325">
        <f t="shared" si="0"/>
        <v>2373</v>
      </c>
      <c r="M9" s="325">
        <f t="shared" si="0"/>
        <v>1646</v>
      </c>
      <c r="N9" s="328"/>
    </row>
    <row r="12" spans="1:14">
      <c r="A12" s="6"/>
    </row>
    <row r="13" spans="1:14">
      <c r="A13" s="6"/>
    </row>
    <row r="14" spans="1:14">
      <c r="A14" s="6"/>
    </row>
    <row r="15" spans="1:14">
      <c r="A15" s="6"/>
    </row>
    <row r="16" spans="1:14">
      <c r="A16" s="6"/>
    </row>
    <row r="17" spans="1:1">
      <c r="A17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5044-2592-4DCA-9333-AD68F1FD7C57}">
  <dimension ref="A1:M20"/>
  <sheetViews>
    <sheetView workbookViewId="0">
      <selection activeCell="A2" sqref="A2:M9"/>
    </sheetView>
  </sheetViews>
  <sheetFormatPr defaultRowHeight="12.75"/>
  <cols>
    <col min="1" max="1" width="22.85546875" bestFit="1" customWidth="1"/>
    <col min="2" max="2" width="16.5703125" bestFit="1" customWidth="1"/>
    <col min="3" max="3" width="8.42578125" bestFit="1" customWidth="1"/>
    <col min="4" max="4" width="10.7109375" bestFit="1" customWidth="1"/>
    <col min="5" max="5" width="11.7109375" bestFit="1" customWidth="1"/>
    <col min="6" max="6" width="8.7109375" bestFit="1" customWidth="1"/>
    <col min="7" max="7" width="18.7109375" bestFit="1" customWidth="1"/>
    <col min="8" max="8" width="8.28515625" bestFit="1" customWidth="1"/>
    <col min="9" max="9" width="10.140625" bestFit="1" customWidth="1"/>
    <col min="10" max="10" width="26.42578125" bestFit="1" customWidth="1"/>
    <col min="11" max="11" width="24.42578125" bestFit="1" customWidth="1"/>
    <col min="12" max="12" width="20.140625" bestFit="1" customWidth="1"/>
    <col min="13" max="13" width="9.85546875" bestFit="1" customWidth="1"/>
  </cols>
  <sheetData>
    <row r="1" spans="1:13" ht="15.75">
      <c r="A1" s="331" t="s">
        <v>2</v>
      </c>
      <c r="B1" s="331" t="s">
        <v>170</v>
      </c>
      <c r="C1" s="331" t="s">
        <v>179</v>
      </c>
      <c r="D1" s="331" t="s">
        <v>175</v>
      </c>
      <c r="E1" s="331" t="s">
        <v>177</v>
      </c>
      <c r="F1" s="331" t="s">
        <v>181</v>
      </c>
      <c r="G1" s="331" t="s">
        <v>172</v>
      </c>
      <c r="H1" s="331" t="s">
        <v>174</v>
      </c>
      <c r="I1" s="331" t="s">
        <v>162</v>
      </c>
      <c r="J1" s="331" t="s">
        <v>168</v>
      </c>
      <c r="K1" s="331" t="s">
        <v>164</v>
      </c>
      <c r="L1" s="331" t="s">
        <v>183</v>
      </c>
      <c r="M1" s="331" t="s">
        <v>166</v>
      </c>
    </row>
    <row r="2" spans="1:13" ht="15">
      <c r="A2" s="326" t="s">
        <v>241</v>
      </c>
      <c r="B2" s="327">
        <v>2238</v>
      </c>
      <c r="C2" s="327">
        <v>483</v>
      </c>
      <c r="D2" s="327">
        <v>2982</v>
      </c>
      <c r="E2" s="327">
        <v>10</v>
      </c>
      <c r="F2" s="327">
        <v>3</v>
      </c>
      <c r="G2" s="327">
        <v>80</v>
      </c>
      <c r="H2" s="327">
        <v>2597</v>
      </c>
      <c r="I2" s="327">
        <v>7364</v>
      </c>
      <c r="J2" s="327">
        <v>26545</v>
      </c>
      <c r="K2" s="327">
        <v>12177</v>
      </c>
      <c r="L2" s="327">
        <v>18</v>
      </c>
      <c r="M2" s="327">
        <v>9</v>
      </c>
    </row>
    <row r="3" spans="1:13" ht="15">
      <c r="A3" s="326" t="s">
        <v>242</v>
      </c>
      <c r="B3" s="327">
        <v>983</v>
      </c>
      <c r="C3" s="327">
        <v>4048</v>
      </c>
      <c r="D3" s="327">
        <v>21</v>
      </c>
      <c r="E3" s="327">
        <v>6</v>
      </c>
      <c r="F3" s="327">
        <v>675</v>
      </c>
      <c r="G3" s="327">
        <v>2198</v>
      </c>
      <c r="H3" s="327">
        <v>5243</v>
      </c>
      <c r="I3" s="327">
        <v>28472</v>
      </c>
      <c r="J3" s="327">
        <v>34930</v>
      </c>
      <c r="K3" s="327">
        <v>18748</v>
      </c>
      <c r="L3" s="327">
        <v>7</v>
      </c>
      <c r="M3" s="327">
        <v>12</v>
      </c>
    </row>
    <row r="4" spans="1:13" ht="15">
      <c r="A4" s="326" t="s">
        <v>243</v>
      </c>
      <c r="B4" s="327">
        <v>4415</v>
      </c>
      <c r="C4" s="327">
        <v>4524</v>
      </c>
      <c r="D4" s="327">
        <v>3049</v>
      </c>
      <c r="E4" s="327">
        <v>21</v>
      </c>
      <c r="F4" s="327">
        <v>2707</v>
      </c>
      <c r="G4" s="327">
        <v>3613</v>
      </c>
      <c r="H4" s="327">
        <v>5297</v>
      </c>
      <c r="I4" s="327">
        <v>32974</v>
      </c>
      <c r="J4" s="327">
        <v>33303</v>
      </c>
      <c r="K4" s="327">
        <v>18437</v>
      </c>
      <c r="L4" s="327">
        <v>11</v>
      </c>
      <c r="M4" s="327">
        <v>8</v>
      </c>
    </row>
    <row r="5" spans="1:13" ht="15">
      <c r="A5" s="326" t="s">
        <v>423</v>
      </c>
      <c r="B5" s="327">
        <v>32</v>
      </c>
      <c r="C5" s="327">
        <v>3130</v>
      </c>
      <c r="D5" s="327">
        <v>1739</v>
      </c>
      <c r="E5" s="327">
        <v>2882</v>
      </c>
      <c r="F5" s="327">
        <v>1433</v>
      </c>
      <c r="G5" s="327">
        <v>4913</v>
      </c>
      <c r="H5" s="327">
        <v>5337</v>
      </c>
      <c r="I5" s="327">
        <v>41708</v>
      </c>
      <c r="J5" s="327">
        <v>34248</v>
      </c>
      <c r="K5" s="327">
        <v>12111</v>
      </c>
      <c r="L5" s="327">
        <v>632</v>
      </c>
      <c r="M5" s="327">
        <v>8</v>
      </c>
    </row>
    <row r="6" spans="1:13" ht="15">
      <c r="A6" s="326" t="s">
        <v>450</v>
      </c>
      <c r="B6" s="327">
        <v>2415</v>
      </c>
      <c r="C6" s="327">
        <v>3616</v>
      </c>
      <c r="D6" s="327">
        <v>201</v>
      </c>
      <c r="E6" s="327">
        <v>2881</v>
      </c>
      <c r="F6" s="327">
        <v>2149</v>
      </c>
      <c r="G6" s="327">
        <v>4148</v>
      </c>
      <c r="H6" s="327">
        <v>6111</v>
      </c>
      <c r="I6" s="327">
        <v>37094</v>
      </c>
      <c r="J6" s="327">
        <v>45498</v>
      </c>
      <c r="K6" s="327">
        <v>15442</v>
      </c>
      <c r="L6" s="327">
        <v>1588</v>
      </c>
      <c r="M6" s="327">
        <v>13</v>
      </c>
    </row>
    <row r="7" spans="1:13" ht="15">
      <c r="A7" s="326" t="s">
        <v>472</v>
      </c>
      <c r="B7" s="327">
        <v>7723</v>
      </c>
      <c r="C7" s="327">
        <v>4662</v>
      </c>
      <c r="D7" s="327">
        <v>41</v>
      </c>
      <c r="E7" s="327">
        <v>4329</v>
      </c>
      <c r="F7" s="327">
        <v>2525</v>
      </c>
      <c r="G7" s="327">
        <v>5490</v>
      </c>
      <c r="H7" s="327">
        <v>5800</v>
      </c>
      <c r="I7" s="327">
        <v>40908</v>
      </c>
      <c r="J7" s="327">
        <v>51184</v>
      </c>
      <c r="K7" s="327">
        <v>18184</v>
      </c>
      <c r="L7" s="327">
        <v>1382</v>
      </c>
      <c r="M7" s="327">
        <v>10</v>
      </c>
    </row>
    <row r="8" spans="1:13" ht="15">
      <c r="A8" s="326" t="s">
        <v>609</v>
      </c>
      <c r="B8" s="327">
        <v>7823</v>
      </c>
      <c r="C8" s="327">
        <v>6338</v>
      </c>
      <c r="D8" s="327">
        <v>4060</v>
      </c>
      <c r="E8" s="327">
        <v>2935</v>
      </c>
      <c r="F8" s="327">
        <v>2377</v>
      </c>
      <c r="G8" s="327">
        <v>8670</v>
      </c>
      <c r="H8" s="327">
        <v>6878</v>
      </c>
      <c r="I8" s="327">
        <v>51964</v>
      </c>
      <c r="J8" s="327">
        <v>55585</v>
      </c>
      <c r="K8" s="327">
        <v>25208</v>
      </c>
      <c r="L8" s="327">
        <v>2022</v>
      </c>
      <c r="M8" s="327">
        <v>12</v>
      </c>
    </row>
    <row r="9" spans="1:13" ht="15">
      <c r="A9" s="332" t="s">
        <v>424</v>
      </c>
      <c r="B9" s="327">
        <f>SUM(B2:B8)</f>
        <v>25629</v>
      </c>
      <c r="C9" s="327">
        <f>SUM(C2:C8)</f>
        <v>26801</v>
      </c>
      <c r="D9" s="327">
        <f t="shared" ref="D9:L9" si="0">SUM(D2:D8)</f>
        <v>12093</v>
      </c>
      <c r="E9" s="327">
        <f>SUM(E2:E8)</f>
        <v>13064</v>
      </c>
      <c r="F9" s="327">
        <f t="shared" si="0"/>
        <v>11869</v>
      </c>
      <c r="G9" s="327">
        <f t="shared" si="0"/>
        <v>29112</v>
      </c>
      <c r="H9" s="327">
        <f t="shared" si="0"/>
        <v>37263</v>
      </c>
      <c r="I9" s="327">
        <f t="shared" si="0"/>
        <v>240484</v>
      </c>
      <c r="J9" s="327">
        <f t="shared" si="0"/>
        <v>281293</v>
      </c>
      <c r="K9" s="327">
        <f t="shared" si="0"/>
        <v>120307</v>
      </c>
      <c r="L9" s="327">
        <f t="shared" si="0"/>
        <v>5660</v>
      </c>
      <c r="M9" s="327">
        <f>SUM(M2:M8)</f>
        <v>72</v>
      </c>
    </row>
    <row r="14" spans="1:13">
      <c r="A14" s="6"/>
    </row>
    <row r="15" spans="1:13">
      <c r="A15" s="6"/>
    </row>
    <row r="16" spans="1:13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72B3-D689-4A3D-9AD9-372B9F81CFA1}">
  <dimension ref="A1:M4"/>
  <sheetViews>
    <sheetView workbookViewId="0">
      <selection activeCell="D11" sqref="D11"/>
    </sheetView>
  </sheetViews>
  <sheetFormatPr defaultRowHeight="12.75"/>
  <cols>
    <col min="1" max="1" width="18.5703125" customWidth="1"/>
    <col min="2" max="2" width="29.5703125" customWidth="1"/>
    <col min="3" max="3" width="20.5703125" customWidth="1"/>
    <col min="4" max="4" width="15.28515625" customWidth="1"/>
    <col min="5" max="5" width="15.5703125" customWidth="1"/>
    <col min="6" max="6" width="22.28515625" customWidth="1"/>
    <col min="7" max="7" width="20" customWidth="1"/>
    <col min="8" max="8" width="23.85546875" customWidth="1"/>
    <col min="9" max="9" width="20.28515625" customWidth="1"/>
    <col min="10" max="10" width="20.140625" customWidth="1"/>
    <col min="11" max="11" width="19.85546875" customWidth="1"/>
    <col min="12" max="12" width="15.85546875" customWidth="1"/>
    <col min="13" max="13" width="18.42578125" customWidth="1"/>
  </cols>
  <sheetData>
    <row r="1" spans="1:13" ht="21" thickBot="1">
      <c r="A1" s="91" t="s">
        <v>245</v>
      </c>
      <c r="B1" s="543">
        <v>45658</v>
      </c>
      <c r="C1" s="544"/>
      <c r="D1" s="543">
        <v>45689</v>
      </c>
      <c r="E1" s="544"/>
      <c r="F1" s="543">
        <v>45717</v>
      </c>
      <c r="G1" s="544"/>
      <c r="H1" s="543">
        <v>45748</v>
      </c>
      <c r="I1" s="544"/>
      <c r="J1" s="543">
        <v>45778</v>
      </c>
      <c r="K1" s="544"/>
      <c r="L1" s="543">
        <v>45809</v>
      </c>
      <c r="M1" s="544"/>
    </row>
    <row r="2" spans="1:13" ht="41.25" thickBot="1">
      <c r="A2" s="92" t="s">
        <v>246</v>
      </c>
      <c r="B2" s="93" t="s">
        <v>247</v>
      </c>
      <c r="C2" s="93" t="s">
        <v>248</v>
      </c>
      <c r="D2" s="93" t="s">
        <v>247</v>
      </c>
      <c r="E2" s="93" t="s">
        <v>248</v>
      </c>
      <c r="F2" s="93" t="s">
        <v>247</v>
      </c>
      <c r="G2" s="93" t="s">
        <v>248</v>
      </c>
      <c r="H2" s="93" t="s">
        <v>247</v>
      </c>
      <c r="I2" s="93" t="s">
        <v>248</v>
      </c>
      <c r="J2" s="93" t="s">
        <v>247</v>
      </c>
      <c r="K2" s="93" t="s">
        <v>248</v>
      </c>
      <c r="L2" s="93" t="s">
        <v>247</v>
      </c>
      <c r="M2" s="93" t="s">
        <v>249</v>
      </c>
    </row>
    <row r="3" spans="1:13" ht="48" customHeight="1" thickBot="1">
      <c r="A3" s="94" t="s">
        <v>82</v>
      </c>
      <c r="B3" s="96">
        <v>0.24390000000000001</v>
      </c>
      <c r="C3" s="96">
        <v>0.61680000000000001</v>
      </c>
      <c r="D3" s="97">
        <v>0.25190000000000001</v>
      </c>
      <c r="E3" s="97">
        <v>0.56889999999999996</v>
      </c>
      <c r="F3" s="97">
        <v>0.25019999999999998</v>
      </c>
      <c r="G3" s="97">
        <v>0.54139999999999999</v>
      </c>
      <c r="H3" s="97">
        <v>0.2389</v>
      </c>
      <c r="I3" s="97">
        <v>0.50860000000000005</v>
      </c>
      <c r="J3" s="97">
        <v>0.2419</v>
      </c>
      <c r="K3" s="97">
        <v>0.43519999999999998</v>
      </c>
      <c r="L3" s="97">
        <v>0.28070000000000001</v>
      </c>
      <c r="M3" s="97">
        <v>0.59819999999999995</v>
      </c>
    </row>
    <row r="4" spans="1:13" ht="41.25" thickBot="1">
      <c r="A4" s="95" t="s">
        <v>190</v>
      </c>
      <c r="B4" s="96">
        <v>0.24390000000000001</v>
      </c>
      <c r="C4" s="96">
        <v>0.61680000000000001</v>
      </c>
      <c r="D4" s="97">
        <v>0.25190000000000001</v>
      </c>
      <c r="E4" s="97">
        <v>0.56889999999999996</v>
      </c>
      <c r="F4" s="97">
        <v>0.25019999999999998</v>
      </c>
      <c r="G4" s="97">
        <v>0.54139999999999999</v>
      </c>
      <c r="H4" s="97">
        <v>0.2389</v>
      </c>
      <c r="I4" s="97">
        <v>0.50860000000000005</v>
      </c>
      <c r="J4" s="97">
        <v>0.2419</v>
      </c>
      <c r="K4" s="97">
        <v>0.43519999999999998</v>
      </c>
      <c r="L4" s="97">
        <v>0.28070000000000001</v>
      </c>
      <c r="M4" s="97">
        <v>0.59819999999999995</v>
      </c>
    </row>
  </sheetData>
  <mergeCells count="6">
    <mergeCell ref="H1:I1"/>
    <mergeCell ref="J1:K1"/>
    <mergeCell ref="L1:M1"/>
    <mergeCell ref="B1:C1"/>
    <mergeCell ref="D1:E1"/>
    <mergeCell ref="F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E573-4772-40A0-B734-58684C7E4E92}">
  <dimension ref="A1:K19"/>
  <sheetViews>
    <sheetView workbookViewId="0">
      <selection activeCell="E2" sqref="E2:E13"/>
    </sheetView>
  </sheetViews>
  <sheetFormatPr defaultRowHeight="12.75"/>
  <cols>
    <col min="1" max="1" width="41.5703125" style="8" customWidth="1"/>
    <col min="2" max="2" width="18.42578125" style="18" bestFit="1" customWidth="1"/>
    <col min="3" max="3" width="12.140625" style="163" bestFit="1" customWidth="1"/>
    <col min="4" max="4" width="22.140625" bestFit="1" customWidth="1"/>
    <col min="5" max="5" width="36.85546875" customWidth="1"/>
    <col min="6" max="6" width="11.42578125" bestFit="1" customWidth="1"/>
    <col min="11" max="11" width="15.85546875" customWidth="1"/>
  </cols>
  <sheetData>
    <row r="1" spans="1:11" ht="18">
      <c r="A1" s="370"/>
      <c r="B1" s="371" t="s">
        <v>190</v>
      </c>
      <c r="C1" s="372" t="s">
        <v>52</v>
      </c>
      <c r="D1" s="373" t="s">
        <v>262</v>
      </c>
      <c r="E1" s="373" t="s">
        <v>263</v>
      </c>
    </row>
    <row r="2" spans="1:11" ht="18">
      <c r="A2" s="374" t="s">
        <v>81</v>
      </c>
      <c r="B2" s="381" t="s">
        <v>516</v>
      </c>
      <c r="C2" s="375">
        <v>435656</v>
      </c>
      <c r="D2" s="376">
        <f>C2/$I$4</f>
        <v>0.11019197902473411</v>
      </c>
      <c r="E2" s="377" t="str">
        <f>TEXT(C2, "0") &amp; CHAR(10) &amp;"("&amp; TEXT(D2, "0.00%")&amp;")"</f>
        <v>435656
(11.02%)</v>
      </c>
      <c r="F2" s="335"/>
      <c r="G2" s="165"/>
      <c r="H2" s="166"/>
      <c r="J2" s="334"/>
      <c r="K2" s="366"/>
    </row>
    <row r="3" spans="1:11" ht="18">
      <c r="A3" s="378" t="s">
        <v>124</v>
      </c>
      <c r="B3" s="380" t="s">
        <v>517</v>
      </c>
      <c r="C3" s="379">
        <v>169366</v>
      </c>
      <c r="D3" s="376">
        <f t="shared" ref="D3:D13" si="0">C3/$I$4</f>
        <v>4.283832822112657E-2</v>
      </c>
      <c r="E3" s="377" t="str">
        <f t="shared" ref="E3:E13" si="1">TEXT(C3, "0") &amp; CHAR(10) &amp;"("&amp; TEXT(D3, "0.00%")&amp;")"</f>
        <v>169366
(4.28%)</v>
      </c>
      <c r="F3" s="335"/>
      <c r="G3" s="165"/>
      <c r="H3" s="166"/>
      <c r="J3" s="334"/>
      <c r="K3" s="365"/>
    </row>
    <row r="4" spans="1:11" ht="18">
      <c r="A4" s="378" t="s">
        <v>238</v>
      </c>
      <c r="B4" s="380" t="s">
        <v>518</v>
      </c>
      <c r="C4" s="379">
        <v>42240</v>
      </c>
      <c r="D4" s="376">
        <f t="shared" si="0"/>
        <v>1.0683909309190666E-2</v>
      </c>
      <c r="E4" s="377" t="str">
        <f t="shared" si="1"/>
        <v>42240
(1.07%)</v>
      </c>
      <c r="F4" s="335"/>
      <c r="G4" s="165"/>
      <c r="H4" s="166"/>
      <c r="I4" s="1">
        <f>'Site - Month Graph'!D35</f>
        <v>3953609</v>
      </c>
      <c r="J4" s="334"/>
      <c r="K4" s="366"/>
    </row>
    <row r="5" spans="1:11" ht="18">
      <c r="A5" s="378" t="s">
        <v>59</v>
      </c>
      <c r="B5" s="380" t="s">
        <v>519</v>
      </c>
      <c r="C5" s="379">
        <v>116117</v>
      </c>
      <c r="D5" s="376">
        <f t="shared" si="0"/>
        <v>2.9369874461536282E-2</v>
      </c>
      <c r="E5" s="377" t="str">
        <f t="shared" si="1"/>
        <v>116117
(2.94%)</v>
      </c>
      <c r="F5" s="335"/>
      <c r="G5" s="165"/>
      <c r="H5" s="166"/>
      <c r="J5" s="334"/>
      <c r="K5" s="365"/>
    </row>
    <row r="6" spans="1:11" ht="18">
      <c r="A6" s="378" t="s">
        <v>128</v>
      </c>
      <c r="B6" s="380" t="s">
        <v>520</v>
      </c>
      <c r="C6" s="379">
        <v>43786</v>
      </c>
      <c r="D6" s="376">
        <f t="shared" si="0"/>
        <v>1.1074944436842388E-2</v>
      </c>
      <c r="E6" s="377" t="str">
        <f t="shared" si="1"/>
        <v>43786
(1.11%)</v>
      </c>
      <c r="F6" s="78"/>
      <c r="G6" s="165"/>
      <c r="H6" s="167"/>
      <c r="K6" s="366"/>
    </row>
    <row r="7" spans="1:11" ht="18">
      <c r="A7" s="8" t="s">
        <v>57</v>
      </c>
      <c r="B7" s="18" t="s">
        <v>522</v>
      </c>
      <c r="C7" s="163">
        <v>135563</v>
      </c>
      <c r="D7" s="376">
        <f>C7/$I$4</f>
        <v>3.4288418505724769E-2</v>
      </c>
      <c r="E7" s="377" t="str">
        <f>TEXT(C7, "0") &amp; CHAR(10) &amp;"("&amp; TEXT(D7, "0.00%")&amp;")"</f>
        <v>135563
(3.43%)</v>
      </c>
      <c r="K7" s="365"/>
    </row>
    <row r="8" spans="1:11" ht="23.25">
      <c r="A8" s="378" t="s">
        <v>127</v>
      </c>
      <c r="B8" s="380" t="s">
        <v>521</v>
      </c>
      <c r="C8" s="379">
        <v>104335</v>
      </c>
      <c r="D8" s="376">
        <f t="shared" si="0"/>
        <v>2.6389812447310798E-2</v>
      </c>
      <c r="E8" s="377" t="str">
        <f t="shared" si="1"/>
        <v>104335
(2.64%)</v>
      </c>
      <c r="F8" s="41"/>
      <c r="G8" s="41"/>
      <c r="K8" s="366"/>
    </row>
    <row r="9" spans="1:11" ht="18">
      <c r="A9" s="8" t="s">
        <v>131</v>
      </c>
      <c r="B9" s="18" t="s">
        <v>523</v>
      </c>
      <c r="C9" s="163">
        <v>59918</v>
      </c>
      <c r="D9" s="376">
        <f t="shared" si="0"/>
        <v>1.5155266997824013E-2</v>
      </c>
      <c r="E9" s="377" t="str">
        <f t="shared" si="1"/>
        <v>59918
(1.52%)</v>
      </c>
      <c r="K9" s="366"/>
    </row>
    <row r="10" spans="1:11" ht="18">
      <c r="A10" s="8" t="s">
        <v>126</v>
      </c>
      <c r="B10" s="18" t="s">
        <v>524</v>
      </c>
      <c r="C10" s="163">
        <v>36107</v>
      </c>
      <c r="D10" s="376">
        <f t="shared" si="0"/>
        <v>9.1326684049940193E-3</v>
      </c>
      <c r="E10" s="377" t="str">
        <f t="shared" si="1"/>
        <v>36107
(0.91%)</v>
      </c>
      <c r="K10" s="365"/>
    </row>
    <row r="11" spans="1:11" ht="18">
      <c r="A11" s="8" t="s">
        <v>125</v>
      </c>
      <c r="B11" s="18" t="s">
        <v>525</v>
      </c>
      <c r="C11" s="163">
        <v>434357</v>
      </c>
      <c r="D11" s="376">
        <f t="shared" si="0"/>
        <v>0.10986341846146142</v>
      </c>
      <c r="E11" s="377" t="str">
        <f t="shared" si="1"/>
        <v>434357
(10.99%)</v>
      </c>
      <c r="K11" s="366"/>
    </row>
    <row r="12" spans="1:11" ht="18">
      <c r="A12" s="8" t="s">
        <v>133</v>
      </c>
      <c r="B12" s="18" t="s">
        <v>526</v>
      </c>
      <c r="C12" s="163">
        <v>103956</v>
      </c>
      <c r="D12" s="376">
        <f t="shared" si="0"/>
        <v>2.6293950666340552E-2</v>
      </c>
      <c r="E12" s="377" t="str">
        <f t="shared" si="1"/>
        <v>103956
(2.63%)</v>
      </c>
      <c r="K12" s="365"/>
    </row>
    <row r="13" spans="1:11" ht="18">
      <c r="A13" s="8" t="s">
        <v>130</v>
      </c>
      <c r="B13" s="18" t="s">
        <v>527</v>
      </c>
      <c r="C13" s="163">
        <v>273093</v>
      </c>
      <c r="D13" s="376">
        <f t="shared" si="0"/>
        <v>6.9074357125350538E-2</v>
      </c>
      <c r="E13" s="377" t="str">
        <f t="shared" si="1"/>
        <v>273093
(6.91%)</v>
      </c>
      <c r="K13" s="366"/>
    </row>
    <row r="14" spans="1:11" ht="15">
      <c r="K14" s="365"/>
    </row>
    <row r="15" spans="1:11" ht="15">
      <c r="K15" s="366"/>
    </row>
    <row r="16" spans="1:11" ht="15">
      <c r="K16" s="365"/>
    </row>
    <row r="17" spans="11:11" ht="15">
      <c r="K17" s="366"/>
    </row>
    <row r="18" spans="11:11" ht="15">
      <c r="K18" s="365"/>
    </row>
    <row r="19" spans="11:11" ht="15">
      <c r="K19" s="36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14"/>
  <sheetViews>
    <sheetView topLeftCell="B52" zoomScaleNormal="100" workbookViewId="0">
      <selection activeCell="D78" sqref="D78"/>
    </sheetView>
  </sheetViews>
  <sheetFormatPr defaultRowHeight="12.75"/>
  <cols>
    <col min="1" max="1" width="10" customWidth="1"/>
    <col min="2" max="2" width="9.85546875" customWidth="1"/>
    <col min="3" max="3" width="16.42578125" style="8" bestFit="1" customWidth="1"/>
    <col min="4" max="4" width="24" customWidth="1"/>
    <col min="5" max="5" width="24.5703125" customWidth="1"/>
    <col min="7" max="7" width="9.85546875" customWidth="1"/>
    <col min="8" max="8" width="10.28515625" customWidth="1"/>
  </cols>
  <sheetData>
    <row r="1" spans="2:5">
      <c r="C1" s="551" t="s">
        <v>1</v>
      </c>
      <c r="D1" s="552"/>
      <c r="E1" s="553"/>
    </row>
    <row r="2" spans="2:5">
      <c r="C2" s="554"/>
      <c r="D2" s="555"/>
      <c r="E2" s="556"/>
    </row>
    <row r="3" spans="2:5">
      <c r="C3" s="33" t="s">
        <v>26</v>
      </c>
      <c r="D3" s="9" t="s">
        <v>143</v>
      </c>
      <c r="E3" s="30" t="s">
        <v>144</v>
      </c>
    </row>
    <row r="4" spans="2:5">
      <c r="C4" s="34" t="s">
        <v>474</v>
      </c>
      <c r="D4">
        <v>126565</v>
      </c>
      <c r="E4">
        <v>97703</v>
      </c>
    </row>
    <row r="5" spans="2:5">
      <c r="C5" s="34" t="s">
        <v>475</v>
      </c>
      <c r="D5">
        <v>130057</v>
      </c>
      <c r="E5">
        <v>106679</v>
      </c>
    </row>
    <row r="6" spans="2:5">
      <c r="C6" s="34" t="s">
        <v>476</v>
      </c>
      <c r="D6">
        <v>138605</v>
      </c>
      <c r="E6">
        <v>107562</v>
      </c>
    </row>
    <row r="7" spans="2:5">
      <c r="C7" s="34" t="s">
        <v>477</v>
      </c>
      <c r="D7">
        <v>142086</v>
      </c>
      <c r="E7">
        <v>111731</v>
      </c>
    </row>
    <row r="8" spans="2:5">
      <c r="C8" s="34" t="s">
        <v>478</v>
      </c>
      <c r="D8">
        <v>135770</v>
      </c>
      <c r="E8">
        <v>114163</v>
      </c>
    </row>
    <row r="9" spans="2:5">
      <c r="C9" s="34" t="s">
        <v>479</v>
      </c>
      <c r="D9">
        <v>147871</v>
      </c>
      <c r="E9">
        <v>113322</v>
      </c>
    </row>
    <row r="10" spans="2:5">
      <c r="C10" s="34" t="s">
        <v>480</v>
      </c>
      <c r="D10">
        <v>138958</v>
      </c>
      <c r="E10">
        <v>107444</v>
      </c>
    </row>
    <row r="11" spans="2:5">
      <c r="C11" s="34" t="s">
        <v>481</v>
      </c>
      <c r="D11">
        <v>131119</v>
      </c>
      <c r="E11">
        <v>98620</v>
      </c>
    </row>
    <row r="12" spans="2:5">
      <c r="B12" s="1"/>
      <c r="C12" s="34" t="s">
        <v>482</v>
      </c>
      <c r="D12">
        <v>128450</v>
      </c>
      <c r="E12">
        <v>96686</v>
      </c>
    </row>
    <row r="13" spans="2:5">
      <c r="B13" s="1"/>
      <c r="C13" s="34" t="s">
        <v>483</v>
      </c>
      <c r="D13">
        <v>125979</v>
      </c>
      <c r="E13">
        <v>96091</v>
      </c>
    </row>
    <row r="14" spans="2:5" ht="12.75" customHeight="1">
      <c r="B14" s="1"/>
      <c r="C14" s="34" t="s">
        <v>484</v>
      </c>
      <c r="D14">
        <v>121732</v>
      </c>
      <c r="E14">
        <v>95271</v>
      </c>
    </row>
    <row r="15" spans="2:5">
      <c r="B15" s="1"/>
      <c r="C15" s="34" t="s">
        <v>485</v>
      </c>
      <c r="D15">
        <v>116690</v>
      </c>
      <c r="E15">
        <v>95292</v>
      </c>
    </row>
    <row r="16" spans="2:5">
      <c r="B16" s="1"/>
      <c r="C16" s="34" t="s">
        <v>486</v>
      </c>
      <c r="D16">
        <v>118494</v>
      </c>
      <c r="E16">
        <v>88133</v>
      </c>
    </row>
    <row r="17" spans="2:8">
      <c r="B17" s="1"/>
      <c r="C17" s="34" t="s">
        <v>487</v>
      </c>
      <c r="D17">
        <v>118105</v>
      </c>
      <c r="E17">
        <v>88813</v>
      </c>
    </row>
    <row r="18" spans="2:8">
      <c r="B18" s="1"/>
      <c r="C18" s="34" t="s">
        <v>488</v>
      </c>
      <c r="D18">
        <v>121933</v>
      </c>
      <c r="E18">
        <v>92487</v>
      </c>
    </row>
    <row r="19" spans="2:8">
      <c r="B19" s="1"/>
      <c r="C19" s="34" t="s">
        <v>489</v>
      </c>
      <c r="D19">
        <v>124581</v>
      </c>
      <c r="E19">
        <v>92688</v>
      </c>
    </row>
    <row r="20" spans="2:8">
      <c r="B20" s="1"/>
      <c r="C20" s="34" t="s">
        <v>490</v>
      </c>
      <c r="D20">
        <v>120926</v>
      </c>
      <c r="E20">
        <v>92479</v>
      </c>
    </row>
    <row r="21" spans="2:8">
      <c r="B21" s="1"/>
      <c r="C21" s="34" t="s">
        <v>491</v>
      </c>
      <c r="D21">
        <v>117065</v>
      </c>
      <c r="E21">
        <v>93537</v>
      </c>
    </row>
    <row r="22" spans="2:8">
      <c r="B22" s="1"/>
      <c r="C22" s="34" t="s">
        <v>492</v>
      </c>
      <c r="D22">
        <v>120535</v>
      </c>
      <c r="E22">
        <v>101602</v>
      </c>
    </row>
    <row r="23" spans="2:8">
      <c r="B23" s="1"/>
      <c r="C23" s="34" t="s">
        <v>493</v>
      </c>
      <c r="D23">
        <v>103954</v>
      </c>
      <c r="E23">
        <v>84104</v>
      </c>
    </row>
    <row r="24" spans="2:8">
      <c r="B24" s="1"/>
      <c r="C24" s="34" t="s">
        <v>494</v>
      </c>
      <c r="D24">
        <v>118972</v>
      </c>
      <c r="E24">
        <v>93236</v>
      </c>
    </row>
    <row r="25" spans="2:8">
      <c r="B25" s="1"/>
      <c r="C25" s="34" t="s">
        <v>495</v>
      </c>
      <c r="D25">
        <v>134400</v>
      </c>
      <c r="E25">
        <v>99716</v>
      </c>
    </row>
    <row r="26" spans="2:8">
      <c r="B26" s="1"/>
      <c r="C26" s="34" t="s">
        <v>496</v>
      </c>
      <c r="D26">
        <v>138516</v>
      </c>
      <c r="E26">
        <v>102049</v>
      </c>
    </row>
    <row r="27" spans="2:8">
      <c r="C27" s="34" t="s">
        <v>497</v>
      </c>
      <c r="D27">
        <v>139585</v>
      </c>
      <c r="E27">
        <v>108345</v>
      </c>
    </row>
    <row r="28" spans="2:8">
      <c r="C28" s="34" t="s">
        <v>498</v>
      </c>
      <c r="D28">
        <v>138583</v>
      </c>
      <c r="E28">
        <v>113125</v>
      </c>
      <c r="G28" s="16"/>
      <c r="H28" s="5"/>
    </row>
    <row r="29" spans="2:8">
      <c r="C29" s="34" t="s">
        <v>499</v>
      </c>
      <c r="D29">
        <v>138184</v>
      </c>
      <c r="E29">
        <v>117857</v>
      </c>
    </row>
    <row r="30" spans="2:8">
      <c r="C30" s="34" t="s">
        <v>500</v>
      </c>
      <c r="D30">
        <v>137625</v>
      </c>
      <c r="E30">
        <v>106826</v>
      </c>
    </row>
    <row r="31" spans="2:8">
      <c r="C31" s="34" t="s">
        <v>501</v>
      </c>
      <c r="D31">
        <v>125614</v>
      </c>
      <c r="E31">
        <v>96061</v>
      </c>
    </row>
    <row r="32" spans="2:8">
      <c r="C32" s="34" t="s">
        <v>502</v>
      </c>
      <c r="D32">
        <v>121587</v>
      </c>
      <c r="E32">
        <v>92005</v>
      </c>
    </row>
    <row r="33" spans="3:18">
      <c r="C33" s="34" t="s">
        <v>503</v>
      </c>
      <c r="D33">
        <v>117554</v>
      </c>
      <c r="E33">
        <v>89681</v>
      </c>
      <c r="H33" s="1"/>
    </row>
    <row r="34" spans="3:18" ht="13.5" thickBot="1">
      <c r="C34" s="34" t="s">
        <v>504</v>
      </c>
      <c r="D34">
        <v>113514</v>
      </c>
      <c r="E34">
        <v>87906</v>
      </c>
      <c r="H34" s="557" t="str">
        <f>D35 &amp; " pages has been viewed overall, average page view per day is " &amp; D36 &amp; ". Page views - lowest on " &amp; TEXT(D38, "dddd, mmmm dd") &amp; IF(OR(DAY(D38)=1, DAY(D38)=21, DAY(D38)=31), "st", IF(OR(DAY(D38)=2, DAY(D38)=22), "nd", IF(OR(DAY(D38)=3, DAY(D38)=23), "rd", "th"))) &amp; ", " &amp; TEXT(D38, "yyyy") &amp; " (" &amp; D37 &amp; "). " &amp; E35 &amp; " pages has been viewed only on mobile, average page view per day is " &amp; E36 &amp; ". Page views - lowest on " &amp; TEXT(E38, "dddd, mmmm dd") &amp; IF(OR(DAY(E38)=1, DAY(E38)=21, DAY(E38)=31), "st", IF(OR(DAY(E38)=2, DAY(E38)=22), "nd", IF(OR(DAY(E38)=3, DAY(E38)=23), "rd", "th"))) &amp; ", " &amp; TEXT(E38, "yyyy") &amp; " (" &amp; E37 &amp; ")."</f>
        <v>3953609 pages has been viewed overall, average page view per day is 127536. Page views - lowest on Monday, October 20th, 2025 (103954). 3081214 pages has been viewed only on mobile, average page view per day is 99394. Page views - lowest on Monday, October 20th, 2025 (84104).</v>
      </c>
      <c r="I34" s="557"/>
      <c r="J34" s="557"/>
      <c r="K34" s="557"/>
      <c r="L34" s="557"/>
      <c r="M34" s="557"/>
      <c r="N34" s="557"/>
      <c r="O34" s="557"/>
      <c r="P34" s="557"/>
      <c r="Q34" s="557"/>
      <c r="R34" s="557"/>
    </row>
    <row r="35" spans="3:18" ht="20.25">
      <c r="C35" s="42" t="s">
        <v>157</v>
      </c>
      <c r="D35" s="25">
        <f>SUM(D4:D34)</f>
        <v>3953609</v>
      </c>
      <c r="E35" s="26">
        <f>SUM(E4:E34)</f>
        <v>3081214</v>
      </c>
      <c r="H35" s="557"/>
      <c r="I35" s="557"/>
      <c r="J35" s="557"/>
      <c r="K35" s="557"/>
      <c r="L35" s="557"/>
      <c r="M35" s="557"/>
      <c r="N35" s="557"/>
      <c r="O35" s="557"/>
      <c r="P35" s="557"/>
      <c r="Q35" s="557"/>
      <c r="R35" s="557"/>
    </row>
    <row r="36" spans="3:18">
      <c r="C36" s="42" t="s">
        <v>158</v>
      </c>
      <c r="D36" s="27">
        <f>ROUND(AVERAGE(D4:D34),0)</f>
        <v>127536</v>
      </c>
      <c r="E36" s="28">
        <f>ROUND(AVERAGE(E4:E34),0)</f>
        <v>99394</v>
      </c>
      <c r="H36" s="557"/>
      <c r="I36" s="557"/>
      <c r="J36" s="557"/>
      <c r="K36" s="557"/>
      <c r="L36" s="557"/>
      <c r="M36" s="557"/>
      <c r="N36" s="557"/>
      <c r="O36" s="557"/>
      <c r="P36" s="557"/>
      <c r="Q36" s="557"/>
      <c r="R36" s="557"/>
    </row>
    <row r="37" spans="3:18">
      <c r="C37" s="42" t="s">
        <v>159</v>
      </c>
      <c r="D37" s="29">
        <f>MIN(D4:D34)</f>
        <v>103954</v>
      </c>
      <c r="E37" s="30">
        <f>MIN(E4:E34)</f>
        <v>84104</v>
      </c>
      <c r="H37" s="557"/>
      <c r="I37" s="557"/>
      <c r="J37" s="557"/>
      <c r="K37" s="557"/>
      <c r="L37" s="557"/>
      <c r="M37" s="557"/>
      <c r="N37" s="557"/>
      <c r="O37" s="557"/>
      <c r="P37" s="557"/>
      <c r="Q37" s="557"/>
      <c r="R37" s="557"/>
    </row>
    <row r="38" spans="3:18" ht="13.5" thickBot="1">
      <c r="C38" s="43" t="s">
        <v>160</v>
      </c>
      <c r="D38" s="31" t="str">
        <f>INDEX(C4:C34,MATCH(MIN(D4:D34),D4:D34,0))</f>
        <v>20-10-2025</v>
      </c>
      <c r="E38" s="32" t="str">
        <f>INDEX(C4:C34,MATCH(MIN(E4:E34),E4:E34,0))</f>
        <v>20-10-2025</v>
      </c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</row>
    <row r="39" spans="3:18"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</row>
    <row r="41" spans="3:18" ht="13.5" thickBot="1"/>
    <row r="42" spans="3:18">
      <c r="C42" s="545" t="s">
        <v>145</v>
      </c>
      <c r="D42" s="546"/>
      <c r="E42" s="547"/>
    </row>
    <row r="43" spans="3:18">
      <c r="C43" s="548"/>
      <c r="D43" s="549"/>
      <c r="E43" s="550"/>
    </row>
    <row r="44" spans="3:18" ht="15.75">
      <c r="C44" s="33" t="s">
        <v>26</v>
      </c>
      <c r="D44" s="9" t="s">
        <v>146</v>
      </c>
      <c r="E44" s="30" t="s">
        <v>147</v>
      </c>
      <c r="K44" s="19"/>
    </row>
    <row r="45" spans="3:18">
      <c r="C45" s="34" t="s">
        <v>474</v>
      </c>
      <c r="D45">
        <v>52183</v>
      </c>
      <c r="E45">
        <v>45356</v>
      </c>
    </row>
    <row r="46" spans="3:18">
      <c r="C46" s="34" t="s">
        <v>475</v>
      </c>
      <c r="D46">
        <v>55606</v>
      </c>
      <c r="E46">
        <v>49077</v>
      </c>
    </row>
    <row r="47" spans="3:18">
      <c r="C47" s="34" t="s">
        <v>476</v>
      </c>
      <c r="D47">
        <v>59125</v>
      </c>
      <c r="E47">
        <v>51027</v>
      </c>
    </row>
    <row r="48" spans="3:18">
      <c r="C48" s="34" t="s">
        <v>477</v>
      </c>
      <c r="D48">
        <v>59705</v>
      </c>
      <c r="E48">
        <v>52729</v>
      </c>
    </row>
    <row r="49" spans="3:5">
      <c r="C49" s="34" t="s">
        <v>478</v>
      </c>
      <c r="D49">
        <v>58354</v>
      </c>
      <c r="E49">
        <v>52795</v>
      </c>
    </row>
    <row r="50" spans="3:5">
      <c r="C50" s="34" t="s">
        <v>479</v>
      </c>
      <c r="D50">
        <v>64107</v>
      </c>
      <c r="E50">
        <v>55545</v>
      </c>
    </row>
    <row r="51" spans="3:5">
      <c r="C51" s="34" t="s">
        <v>480</v>
      </c>
      <c r="D51">
        <v>59707</v>
      </c>
      <c r="E51">
        <v>52016</v>
      </c>
    </row>
    <row r="52" spans="3:5">
      <c r="C52" s="34" t="s">
        <v>481</v>
      </c>
      <c r="D52">
        <v>53775</v>
      </c>
      <c r="E52">
        <v>45619</v>
      </c>
    </row>
    <row r="53" spans="3:5">
      <c r="C53" s="34" t="s">
        <v>482</v>
      </c>
      <c r="D53">
        <v>51910</v>
      </c>
      <c r="E53">
        <v>44003</v>
      </c>
    </row>
    <row r="54" spans="3:5">
      <c r="C54" s="34" t="s">
        <v>483</v>
      </c>
      <c r="D54">
        <v>51778</v>
      </c>
      <c r="E54">
        <v>44240</v>
      </c>
    </row>
    <row r="55" spans="3:5">
      <c r="C55" s="34" t="s">
        <v>484</v>
      </c>
      <c r="D55">
        <v>48925</v>
      </c>
      <c r="E55">
        <v>42716</v>
      </c>
    </row>
    <row r="56" spans="3:5">
      <c r="C56" s="34" t="s">
        <v>485</v>
      </c>
      <c r="D56">
        <v>47080</v>
      </c>
      <c r="E56">
        <v>41834</v>
      </c>
    </row>
    <row r="57" spans="3:5">
      <c r="C57" s="34" t="s">
        <v>486</v>
      </c>
      <c r="D57">
        <v>46873</v>
      </c>
      <c r="E57">
        <v>39241</v>
      </c>
    </row>
    <row r="58" spans="3:5">
      <c r="C58" s="34" t="s">
        <v>487</v>
      </c>
      <c r="D58">
        <v>48295</v>
      </c>
      <c r="E58">
        <v>40453</v>
      </c>
    </row>
    <row r="59" spans="3:5">
      <c r="C59" s="34" t="s">
        <v>488</v>
      </c>
      <c r="D59">
        <v>52788</v>
      </c>
      <c r="E59">
        <v>43973</v>
      </c>
    </row>
    <row r="60" spans="3:5">
      <c r="C60" s="34" t="s">
        <v>489</v>
      </c>
      <c r="D60">
        <v>53782</v>
      </c>
      <c r="E60">
        <v>43515</v>
      </c>
    </row>
    <row r="61" spans="3:5">
      <c r="C61" s="34" t="s">
        <v>490</v>
      </c>
      <c r="D61">
        <v>51266</v>
      </c>
      <c r="E61">
        <v>42509</v>
      </c>
    </row>
    <row r="62" spans="3:5">
      <c r="C62" s="34" t="s">
        <v>491</v>
      </c>
      <c r="D62">
        <v>47763</v>
      </c>
      <c r="E62">
        <v>41344</v>
      </c>
    </row>
    <row r="63" spans="3:5">
      <c r="C63" s="34" t="s">
        <v>492</v>
      </c>
      <c r="D63">
        <v>49480</v>
      </c>
      <c r="E63">
        <v>44374</v>
      </c>
    </row>
    <row r="64" spans="3:5">
      <c r="C64" s="34" t="s">
        <v>493</v>
      </c>
      <c r="D64">
        <v>43911</v>
      </c>
      <c r="E64">
        <v>38054</v>
      </c>
    </row>
    <row r="65" spans="3:5">
      <c r="C65" s="34" t="s">
        <v>494</v>
      </c>
      <c r="D65">
        <v>52234</v>
      </c>
      <c r="E65">
        <v>44326</v>
      </c>
    </row>
    <row r="66" spans="3:5">
      <c r="C66" s="34" t="s">
        <v>495</v>
      </c>
      <c r="D66">
        <v>63200</v>
      </c>
      <c r="E66">
        <v>49138</v>
      </c>
    </row>
    <row r="67" spans="3:5">
      <c r="C67" s="34" t="s">
        <v>496</v>
      </c>
      <c r="D67">
        <v>65146</v>
      </c>
      <c r="E67">
        <v>50146</v>
      </c>
    </row>
    <row r="68" spans="3:5">
      <c r="C68" s="34" t="s">
        <v>497</v>
      </c>
      <c r="D68">
        <v>61714</v>
      </c>
      <c r="E68">
        <v>51980</v>
      </c>
    </row>
    <row r="69" spans="3:5">
      <c r="C69" s="34" t="s">
        <v>498</v>
      </c>
      <c r="D69">
        <v>59606</v>
      </c>
      <c r="E69">
        <v>53473</v>
      </c>
    </row>
    <row r="70" spans="3:5">
      <c r="C70" s="34" t="s">
        <v>499</v>
      </c>
      <c r="D70">
        <v>59686</v>
      </c>
      <c r="E70">
        <v>54650</v>
      </c>
    </row>
    <row r="71" spans="3:5">
      <c r="C71" s="34" t="s">
        <v>500</v>
      </c>
      <c r="D71">
        <v>57324</v>
      </c>
      <c r="E71">
        <v>50002</v>
      </c>
    </row>
    <row r="72" spans="3:5">
      <c r="C72" s="34" t="s">
        <v>501</v>
      </c>
      <c r="D72">
        <v>51544</v>
      </c>
      <c r="E72">
        <v>44403</v>
      </c>
    </row>
    <row r="73" spans="3:5">
      <c r="C73" s="34" t="s">
        <v>502</v>
      </c>
      <c r="D73">
        <v>50441</v>
      </c>
      <c r="E73">
        <v>43418</v>
      </c>
    </row>
    <row r="74" spans="3:5">
      <c r="C74" s="34" t="s">
        <v>503</v>
      </c>
      <c r="D74">
        <v>48416</v>
      </c>
      <c r="E74">
        <v>41852</v>
      </c>
    </row>
    <row r="75" spans="3:5" ht="13.5" thickBot="1">
      <c r="C75" s="34" t="s">
        <v>504</v>
      </c>
      <c r="D75">
        <v>47933</v>
      </c>
      <c r="E75">
        <v>41991</v>
      </c>
    </row>
    <row r="76" spans="3:5" ht="15.75">
      <c r="C76" s="38"/>
      <c r="D76" s="35">
        <f>SUM(D45:D75)</f>
        <v>1673657</v>
      </c>
      <c r="E76" s="36">
        <f>SUM(E45:E75)</f>
        <v>1435799</v>
      </c>
    </row>
    <row r="77" spans="3:5" ht="13.5" thickBot="1">
      <c r="C77" s="39"/>
      <c r="D77" s="24">
        <f>ROUND(AVERAGE(D45:D75),0)</f>
        <v>53989</v>
      </c>
      <c r="E77" s="37">
        <f>ROUND(AVERAGE(E45:E75),0)</f>
        <v>46316</v>
      </c>
    </row>
    <row r="95" spans="10:10">
      <c r="J95" s="1"/>
    </row>
    <row r="97" spans="4:10" ht="14.25">
      <c r="J97" s="76"/>
    </row>
    <row r="98" spans="4:10" ht="14.25">
      <c r="J98" s="76"/>
    </row>
    <row r="106" spans="4:10">
      <c r="D106" s="1"/>
    </row>
    <row r="109" spans="4:10" ht="21">
      <c r="D109" s="13"/>
    </row>
    <row r="110" spans="4:10" ht="21">
      <c r="D110" s="13"/>
    </row>
    <row r="111" spans="4:10" ht="21">
      <c r="D111" s="13"/>
    </row>
    <row r="112" spans="4:10" ht="21">
      <c r="D112" s="13"/>
    </row>
    <row r="113" spans="4:4" ht="21">
      <c r="D113" s="13"/>
    </row>
    <row r="114" spans="4:4" ht="21">
      <c r="D114" s="13"/>
    </row>
  </sheetData>
  <mergeCells count="3">
    <mergeCell ref="C42:E43"/>
    <mergeCell ref="C1:E2"/>
    <mergeCell ref="H34:R39"/>
  </mergeCells>
  <phoneticPr fontId="0" type="noConversion"/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A202"/>
  <sheetViews>
    <sheetView zoomScale="85" zoomScaleNormal="85" workbookViewId="0">
      <selection activeCell="O30" sqref="O30"/>
    </sheetView>
  </sheetViews>
  <sheetFormatPr defaultRowHeight="12.75"/>
  <cols>
    <col min="1" max="1" width="11.28515625" customWidth="1"/>
    <col min="2" max="2" width="11.85546875" customWidth="1"/>
    <col min="3" max="3" width="9" customWidth="1"/>
    <col min="4" max="4" width="11.7109375" style="40" customWidth="1"/>
    <col min="6" max="6" width="11.5703125" style="40" customWidth="1"/>
    <col min="7" max="7" width="10.140625" bestFit="1" customWidth="1"/>
    <col min="26" max="27" width="9.140625" customWidth="1"/>
  </cols>
  <sheetData>
    <row r="1" spans="1:4">
      <c r="A1" s="112" t="s">
        <v>250</v>
      </c>
      <c r="B1" s="113" t="s">
        <v>0</v>
      </c>
      <c r="C1" s="112" t="s">
        <v>250</v>
      </c>
      <c r="D1" s="113" t="s">
        <v>0</v>
      </c>
    </row>
    <row r="2" spans="1:4">
      <c r="A2" s="114" t="s">
        <v>254</v>
      </c>
      <c r="B2" s="119">
        <v>1386083</v>
      </c>
      <c r="C2" s="114" t="s">
        <v>254</v>
      </c>
      <c r="D2" s="123">
        <v>1127700</v>
      </c>
    </row>
    <row r="3" spans="1:4" ht="14.25">
      <c r="A3" s="114" t="s">
        <v>255</v>
      </c>
      <c r="B3" s="120">
        <v>3436416</v>
      </c>
      <c r="C3" s="114" t="s">
        <v>255</v>
      </c>
      <c r="D3" s="116">
        <v>3122151</v>
      </c>
    </row>
    <row r="4" spans="1:4" ht="14.25">
      <c r="A4" s="114" t="s">
        <v>421</v>
      </c>
      <c r="B4" s="121">
        <v>4167538</v>
      </c>
      <c r="C4" s="114" t="s">
        <v>421</v>
      </c>
      <c r="D4" s="117">
        <v>3844822</v>
      </c>
    </row>
    <row r="5" spans="1:4" ht="14.25">
      <c r="A5" s="114" t="s">
        <v>447</v>
      </c>
      <c r="B5" s="122">
        <v>1883860</v>
      </c>
      <c r="C5" s="114" t="s">
        <v>447</v>
      </c>
      <c r="D5" s="115">
        <v>1585494</v>
      </c>
    </row>
    <row r="6" spans="1:4" ht="14.25">
      <c r="A6" s="114" t="s">
        <v>460</v>
      </c>
      <c r="B6" s="122">
        <v>2306319</v>
      </c>
      <c r="C6" s="114" t="s">
        <v>460</v>
      </c>
      <c r="D6" s="118">
        <v>1941298</v>
      </c>
    </row>
    <row r="7" spans="1:4" ht="14.25">
      <c r="A7" s="114" t="s">
        <v>508</v>
      </c>
      <c r="B7" s="122">
        <v>2295204</v>
      </c>
      <c r="C7" s="114" t="s">
        <v>508</v>
      </c>
      <c r="D7" s="118">
        <v>1903070</v>
      </c>
    </row>
    <row r="8" spans="1:4">
      <c r="C8" s="7"/>
      <c r="D8" s="98"/>
    </row>
    <row r="9" spans="1:4">
      <c r="C9" s="7"/>
      <c r="D9" s="98"/>
    </row>
    <row r="10" spans="1:4">
      <c r="C10" s="7"/>
      <c r="D10" s="98"/>
    </row>
    <row r="11" spans="1:4">
      <c r="C11" s="7"/>
      <c r="D11" s="98"/>
    </row>
    <row r="12" spans="1:4">
      <c r="C12" s="7"/>
      <c r="D12" s="98"/>
    </row>
    <row r="13" spans="1:4">
      <c r="C13" s="7"/>
      <c r="D13" s="98"/>
    </row>
    <row r="14" spans="1:4">
      <c r="C14" s="7"/>
      <c r="D14" s="98"/>
    </row>
    <row r="15" spans="1:4">
      <c r="C15" s="7"/>
      <c r="D15" s="98"/>
    </row>
    <row r="16" spans="1:4">
      <c r="C16" s="7"/>
      <c r="D16" s="98"/>
    </row>
    <row r="17" spans="3:27">
      <c r="C17" s="7"/>
      <c r="D17" s="99"/>
    </row>
    <row r="18" spans="3:27">
      <c r="C18" s="7"/>
      <c r="D18" s="98"/>
    </row>
    <row r="19" spans="3:27">
      <c r="C19" s="7"/>
      <c r="D19" s="98"/>
    </row>
    <row r="20" spans="3:27">
      <c r="C20" s="7"/>
      <c r="D20" s="98"/>
    </row>
    <row r="21" spans="3:27">
      <c r="C21" s="7"/>
      <c r="D21" s="98"/>
    </row>
    <row r="22" spans="3:27">
      <c r="C22" s="7"/>
      <c r="D22" s="100"/>
    </row>
    <row r="23" spans="3:27">
      <c r="C23" s="7"/>
      <c r="D23" s="101"/>
    </row>
    <row r="24" spans="3:27">
      <c r="C24" s="7"/>
      <c r="D24" s="102"/>
    </row>
    <row r="25" spans="3:27">
      <c r="C25" s="7"/>
      <c r="D25" s="102"/>
    </row>
    <row r="26" spans="3:27">
      <c r="C26" s="7"/>
      <c r="D26" s="102"/>
    </row>
    <row r="27" spans="3:27">
      <c r="C27" s="7"/>
      <c r="D27" s="102"/>
    </row>
    <row r="28" spans="3:27">
      <c r="C28" s="7"/>
      <c r="D28" s="102"/>
    </row>
    <row r="29" spans="3:27">
      <c r="C29" s="7"/>
      <c r="D29" s="100"/>
    </row>
    <row r="30" spans="3:27">
      <c r="C30" s="7"/>
      <c r="D30" s="100"/>
    </row>
    <row r="31" spans="3:27">
      <c r="C31" s="7"/>
      <c r="D31" s="100"/>
    </row>
    <row r="32" spans="3:27">
      <c r="C32" s="7"/>
      <c r="D32" s="100"/>
      <c r="K32" s="558" t="s">
        <v>148</v>
      </c>
      <c r="L32" s="558"/>
      <c r="M32" s="558"/>
      <c r="N32" s="558"/>
      <c r="O32" s="558"/>
      <c r="W32" s="558" t="s">
        <v>149</v>
      </c>
      <c r="X32" s="558"/>
      <c r="Y32" s="558"/>
      <c r="Z32" s="558"/>
      <c r="AA32" s="558"/>
    </row>
    <row r="33" spans="3:27" ht="12.75" customHeight="1">
      <c r="C33" s="7"/>
      <c r="D33" s="100"/>
      <c r="K33" s="558"/>
      <c r="L33" s="558"/>
      <c r="M33" s="558"/>
      <c r="N33" s="558"/>
      <c r="O33" s="558"/>
      <c r="W33" s="558"/>
      <c r="X33" s="558"/>
      <c r="Y33" s="558"/>
      <c r="Z33" s="558"/>
      <c r="AA33" s="558"/>
    </row>
    <row r="34" spans="3:27" ht="12.75" customHeight="1">
      <c r="C34" s="7"/>
      <c r="D34" s="100"/>
      <c r="K34" s="558"/>
      <c r="L34" s="558"/>
      <c r="M34" s="558"/>
      <c r="N34" s="558"/>
      <c r="O34" s="558"/>
      <c r="W34" s="558"/>
      <c r="X34" s="558"/>
      <c r="Y34" s="558"/>
      <c r="Z34" s="558"/>
      <c r="AA34" s="558"/>
    </row>
    <row r="35" spans="3:27" ht="12.75" customHeight="1">
      <c r="C35" s="7"/>
      <c r="D35" s="100"/>
      <c r="K35" s="558"/>
      <c r="L35" s="558"/>
      <c r="M35" s="558"/>
      <c r="N35" s="558"/>
      <c r="O35" s="558"/>
      <c r="W35" s="558"/>
      <c r="X35" s="558"/>
      <c r="Y35" s="558"/>
      <c r="Z35" s="558"/>
      <c r="AA35" s="558"/>
    </row>
    <row r="36" spans="3:27">
      <c r="C36" s="7"/>
      <c r="D36" s="100"/>
    </row>
    <row r="37" spans="3:27">
      <c r="C37" s="7"/>
      <c r="D37" s="100"/>
    </row>
    <row r="38" spans="3:27">
      <c r="C38" s="7"/>
      <c r="D38" s="100"/>
    </row>
    <row r="39" spans="3:27">
      <c r="C39" s="7"/>
      <c r="D39" s="100"/>
    </row>
    <row r="40" spans="3:27">
      <c r="C40" s="7"/>
      <c r="D40" s="100"/>
    </row>
    <row r="41" spans="3:27">
      <c r="C41" s="7"/>
    </row>
    <row r="42" spans="3:27">
      <c r="C42" s="7"/>
      <c r="D42" s="100"/>
    </row>
    <row r="43" spans="3:27">
      <c r="C43" s="7"/>
      <c r="D43" s="100"/>
    </row>
    <row r="44" spans="3:27">
      <c r="C44" s="7"/>
      <c r="D44" s="100"/>
    </row>
    <row r="45" spans="3:27">
      <c r="C45" s="7"/>
      <c r="D45" s="100"/>
    </row>
    <row r="46" spans="3:27">
      <c r="C46" s="7"/>
      <c r="D46" s="100"/>
    </row>
    <row r="47" spans="3:27">
      <c r="C47" s="7"/>
      <c r="D47" s="101"/>
    </row>
    <row r="48" spans="3:27">
      <c r="C48" s="7"/>
      <c r="D48" s="100"/>
      <c r="F48" s="103"/>
      <c r="G48" s="3"/>
    </row>
    <row r="49" spans="3:8">
      <c r="C49" s="7"/>
      <c r="D49" s="100"/>
      <c r="F49" s="103"/>
      <c r="G49" s="3"/>
    </row>
    <row r="50" spans="3:8">
      <c r="C50" s="7"/>
      <c r="D50" s="100"/>
      <c r="F50" s="103"/>
      <c r="G50" s="3"/>
    </row>
    <row r="51" spans="3:8">
      <c r="C51" s="7"/>
      <c r="D51" s="100"/>
      <c r="F51" s="103"/>
      <c r="G51" s="3"/>
    </row>
    <row r="52" spans="3:8">
      <c r="C52" s="108"/>
      <c r="D52" s="109"/>
      <c r="E52" s="110"/>
      <c r="F52" s="111"/>
      <c r="G52" s="3"/>
    </row>
    <row r="53" spans="3:8">
      <c r="C53" s="109"/>
      <c r="D53" s="109"/>
      <c r="E53" s="111"/>
      <c r="F53" s="111"/>
      <c r="G53" s="3"/>
    </row>
    <row r="54" spans="3:8" ht="14.25">
      <c r="C54" s="7"/>
      <c r="D54" s="100"/>
      <c r="E54" s="7"/>
      <c r="F54" s="104"/>
      <c r="G54" s="22"/>
    </row>
    <row r="55" spans="3:8" ht="14.25">
      <c r="C55" s="7"/>
      <c r="D55" s="100"/>
      <c r="E55" s="7"/>
      <c r="F55" s="104"/>
      <c r="G55" s="22"/>
    </row>
    <row r="56" spans="3:8" ht="14.25">
      <c r="C56" s="7"/>
      <c r="D56" s="101"/>
      <c r="E56" s="7"/>
      <c r="F56" s="104"/>
      <c r="G56" s="22"/>
    </row>
    <row r="57" spans="3:8" ht="14.25">
      <c r="C57" s="7"/>
      <c r="D57" s="101"/>
      <c r="E57" s="7"/>
      <c r="F57" s="104"/>
      <c r="G57" s="22"/>
    </row>
    <row r="58" spans="3:8" ht="14.25">
      <c r="C58" s="7"/>
      <c r="D58" s="105"/>
      <c r="E58" s="7"/>
      <c r="F58" s="104"/>
      <c r="G58" s="22"/>
    </row>
    <row r="59" spans="3:8" ht="14.25">
      <c r="C59" s="7"/>
      <c r="D59" s="104"/>
      <c r="E59" s="7"/>
      <c r="F59" s="104"/>
      <c r="G59" s="23"/>
    </row>
    <row r="60" spans="3:8">
      <c r="C60" s="7"/>
      <c r="D60" s="100"/>
      <c r="E60" s="7"/>
      <c r="F60" s="100"/>
    </row>
    <row r="61" spans="3:8" ht="14.25">
      <c r="C61" s="7"/>
      <c r="D61" s="106"/>
      <c r="E61" s="7"/>
      <c r="F61"/>
    </row>
    <row r="62" spans="3:8" ht="14.25">
      <c r="C62" s="7"/>
      <c r="D62" s="76"/>
      <c r="E62" s="7"/>
      <c r="F62" s="76"/>
    </row>
    <row r="63" spans="3:8">
      <c r="C63" s="7"/>
      <c r="D63" s="100"/>
      <c r="E63" s="7"/>
    </row>
    <row r="64" spans="3:8">
      <c r="C64" s="7"/>
      <c r="D64" s="100"/>
      <c r="E64" s="7"/>
      <c r="H64" s="17"/>
    </row>
    <row r="65" spans="3:6" ht="14.25">
      <c r="C65" s="7"/>
      <c r="D65" s="77"/>
      <c r="E65" s="7"/>
      <c r="F65" s="77"/>
    </row>
    <row r="66" spans="3:6" ht="14.25">
      <c r="C66" s="7"/>
      <c r="D66" s="79"/>
      <c r="E66" s="7"/>
      <c r="F66" s="79"/>
    </row>
    <row r="67" spans="3:6" ht="14.25">
      <c r="C67" s="7"/>
      <c r="D67" s="107"/>
      <c r="E67" s="7"/>
      <c r="F67" s="100"/>
    </row>
    <row r="68" spans="3:6" ht="14.25">
      <c r="C68" s="7"/>
      <c r="D68" s="107"/>
      <c r="E68" s="7"/>
      <c r="F68" s="107"/>
    </row>
    <row r="202" ht="15.75" customHeight="1"/>
  </sheetData>
  <mergeCells count="2">
    <mergeCell ref="W32:AA35"/>
    <mergeCell ref="K32:O35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0"/>
  <sheetViews>
    <sheetView zoomScaleNormal="100" workbookViewId="0">
      <selection activeCell="B14" sqref="B14:C18"/>
    </sheetView>
  </sheetViews>
  <sheetFormatPr defaultRowHeight="12.75"/>
  <cols>
    <col min="1" max="1" width="11" style="124" bestFit="1" customWidth="1"/>
    <col min="2" max="2" width="27.5703125" style="124" customWidth="1"/>
    <col min="3" max="3" width="23.5703125" style="124" bestFit="1" customWidth="1"/>
    <col min="4" max="4" width="12.140625" style="124" customWidth="1"/>
    <col min="5" max="5" width="12.5703125" style="124" customWidth="1"/>
    <col min="6" max="6" width="8.28515625" style="124" customWidth="1"/>
    <col min="7" max="7" width="9.140625" style="124"/>
    <col min="8" max="8" width="16" style="124" customWidth="1"/>
    <col min="9" max="9" width="26.140625" style="124" customWidth="1"/>
    <col min="10" max="10" width="27.140625" style="124" bestFit="1" customWidth="1"/>
    <col min="11" max="11" width="11.42578125" style="124" customWidth="1"/>
    <col min="12" max="12" width="9.85546875" style="124" bestFit="1" customWidth="1"/>
    <col min="13" max="13" width="14.42578125" style="124" customWidth="1"/>
    <col min="14" max="15" width="9.140625" style="124"/>
    <col min="16" max="16" width="12.28515625" style="124" customWidth="1"/>
    <col min="17" max="17" width="10.5703125" style="124" customWidth="1"/>
    <col min="18" max="18" width="9.5703125" style="124" customWidth="1"/>
    <col min="19" max="19" width="9.85546875" style="124" customWidth="1"/>
    <col min="20" max="20" width="11.85546875" style="124" bestFit="1" customWidth="1"/>
    <col min="21" max="21" width="9.85546875" style="124" bestFit="1" customWidth="1"/>
    <col min="22" max="22" width="9.140625" style="126"/>
    <col min="23" max="25" width="9.140625" style="124"/>
    <col min="26" max="26" width="11" style="124" bestFit="1" customWidth="1"/>
    <col min="27" max="32" width="9.140625" style="124"/>
    <col min="33" max="33" width="12" style="124" bestFit="1" customWidth="1"/>
    <col min="34" max="16384" width="9.140625" style="124"/>
  </cols>
  <sheetData>
    <row r="1" spans="1:19">
      <c r="A1" s="125" t="s">
        <v>252</v>
      </c>
      <c r="B1" s="125" t="s">
        <v>253</v>
      </c>
      <c r="D1" s="150"/>
      <c r="E1" s="151"/>
      <c r="F1" s="152"/>
    </row>
    <row r="2" spans="1:19">
      <c r="A2" s="127" t="s">
        <v>254</v>
      </c>
      <c r="B2" s="128">
        <v>100509</v>
      </c>
      <c r="D2" s="129"/>
      <c r="E2" s="130" t="s">
        <v>55</v>
      </c>
      <c r="F2" s="131" t="s">
        <v>18</v>
      </c>
    </row>
    <row r="3" spans="1:19" ht="12.75" customHeight="1">
      <c r="A3" s="127" t="s">
        <v>255</v>
      </c>
      <c r="B3" s="128">
        <v>114024</v>
      </c>
      <c r="D3" s="129" t="s">
        <v>17</v>
      </c>
      <c r="E3" s="137">
        <v>109</v>
      </c>
      <c r="F3" s="132">
        <f>(E3/E7)*100</f>
        <v>6.0505134610047188E-2</v>
      </c>
      <c r="G3" s="139"/>
    </row>
    <row r="4" spans="1:19" ht="13.5" customHeight="1">
      <c r="A4" s="127" t="s">
        <v>421</v>
      </c>
      <c r="B4" s="128">
        <v>113905</v>
      </c>
      <c r="D4" s="129" t="s">
        <v>15</v>
      </c>
      <c r="E4" s="133">
        <v>161934</v>
      </c>
      <c r="F4" s="132">
        <f>(E4/E7)*100</f>
        <v>89.888426311407159</v>
      </c>
    </row>
    <row r="5" spans="1:19">
      <c r="A5" s="127" t="s">
        <v>447</v>
      </c>
      <c r="B5" s="128">
        <v>127069</v>
      </c>
      <c r="D5" s="129" t="s">
        <v>54</v>
      </c>
      <c r="E5" s="133">
        <v>98</v>
      </c>
      <c r="F5" s="132">
        <f>(E5/E7)*100</f>
        <v>5.4399111851235082E-2</v>
      </c>
      <c r="Q5" s="134"/>
      <c r="R5" s="135"/>
      <c r="S5" s="136"/>
    </row>
    <row r="6" spans="1:19">
      <c r="A6" s="127" t="s">
        <v>460</v>
      </c>
      <c r="B6" s="128">
        <v>148616</v>
      </c>
      <c r="D6" s="129" t="s">
        <v>16</v>
      </c>
      <c r="E6" s="133">
        <v>18009</v>
      </c>
      <c r="F6" s="132">
        <f>(E6/E7)*100</f>
        <v>9.9966694421315569</v>
      </c>
      <c r="Q6" s="134"/>
      <c r="R6" s="135"/>
    </row>
    <row r="7" spans="1:19">
      <c r="A7" s="127" t="s">
        <v>508</v>
      </c>
      <c r="B7" s="128">
        <v>180150</v>
      </c>
      <c r="D7" s="129" t="s">
        <v>51</v>
      </c>
      <c r="E7" s="128">
        <f>SUM(E3:E6)</f>
        <v>180150</v>
      </c>
      <c r="F7" s="132">
        <f>SUM(F3:F6)</f>
        <v>100.00000000000001</v>
      </c>
      <c r="Q7" s="134"/>
      <c r="R7" s="135"/>
    </row>
    <row r="8" spans="1:19">
      <c r="Q8" s="134"/>
      <c r="R8" s="135"/>
    </row>
    <row r="9" spans="1:19">
      <c r="Q9" s="134"/>
      <c r="R9" s="135"/>
    </row>
    <row r="10" spans="1:19">
      <c r="Q10" s="134"/>
      <c r="R10" s="135"/>
    </row>
    <row r="11" spans="1:19">
      <c r="Q11" s="134"/>
      <c r="R11" s="135"/>
    </row>
    <row r="12" spans="1:19">
      <c r="Q12" s="134"/>
      <c r="R12" s="135"/>
    </row>
    <row r="13" spans="1:19">
      <c r="Q13" s="134"/>
      <c r="R13" s="135"/>
    </row>
    <row r="14" spans="1:19">
      <c r="B14" s="142" t="str">
        <f>"Total Requests:  " &amp; E7 &amp; " NOS."</f>
        <v>Total Requests:  180150 NOS.</v>
      </c>
      <c r="C14" s="145"/>
      <c r="Q14" s="134"/>
      <c r="R14" s="135"/>
    </row>
    <row r="15" spans="1:19">
      <c r="B15" s="149" t="s">
        <v>251</v>
      </c>
      <c r="C15" s="146"/>
      <c r="Q15" s="134"/>
      <c r="R15" s="135"/>
    </row>
    <row r="16" spans="1:19">
      <c r="B16" s="144" t="str">
        <f>D4&amp;" : " &amp; E4 &amp; " (" &amp; TEXT(F4, "0.00") &amp; "%)"</f>
        <v>Buy Now : 161934 (89.89%)</v>
      </c>
      <c r="C16" s="143" t="str">
        <f>D3&amp;" " &amp; E3 &amp; " (" &amp; TEXT(F3, "0.00") &amp; "%)"</f>
        <v>Brochure 109 (0.06%)</v>
      </c>
      <c r="Q16" s="134"/>
      <c r="R16" s="135"/>
    </row>
    <row r="17" spans="2:18">
      <c r="B17" s="147"/>
      <c r="C17" s="148"/>
      <c r="Q17" s="134"/>
      <c r="R17" s="135"/>
    </row>
    <row r="18" spans="2:18">
      <c r="B18" s="141" t="str">
        <f>D5&amp;" : " &amp; E5 &amp; " (" &amp; TEXT(F5, "0.00") &amp; "%)"</f>
        <v>Grievance : 98 (0.05%)</v>
      </c>
      <c r="C18" s="140" t="str">
        <f>D6&amp;": " &amp; E6 &amp; " (" &amp; TEXT(F6, "0.00") &amp; "%)"</f>
        <v>Test Drive: 18009 (10.00%)</v>
      </c>
      <c r="Q18" s="134"/>
      <c r="R18" s="135"/>
    </row>
    <row r="19" spans="2:18">
      <c r="Q19" s="134"/>
      <c r="R19" s="135"/>
    </row>
    <row r="20" spans="2:18">
      <c r="I20" s="138"/>
      <c r="Q20" s="134"/>
      <c r="R20" s="135"/>
    </row>
    <row r="21" spans="2:18">
      <c r="Q21" s="134"/>
      <c r="R21" s="135"/>
    </row>
    <row r="22" spans="2:18">
      <c r="Q22" s="134"/>
      <c r="R22" s="135"/>
    </row>
    <row r="23" spans="2:18">
      <c r="Q23" s="134"/>
      <c r="R23" s="135"/>
    </row>
    <row r="24" spans="2:18">
      <c r="Q24" s="134"/>
      <c r="R24" s="135"/>
    </row>
    <row r="25" spans="2:18">
      <c r="K25" s="137"/>
      <c r="Q25" s="134"/>
      <c r="R25" s="137"/>
    </row>
    <row r="26" spans="2:18">
      <c r="K26" s="137"/>
      <c r="Q26" s="134"/>
      <c r="R26" s="135"/>
    </row>
    <row r="27" spans="2:18">
      <c r="K27" s="137"/>
      <c r="Q27" s="134"/>
      <c r="R27" s="135"/>
    </row>
    <row r="28" spans="2:18">
      <c r="K28" s="137"/>
      <c r="Q28" s="134"/>
      <c r="R28" s="135"/>
    </row>
    <row r="29" spans="2:18">
      <c r="K29" s="137"/>
      <c r="Q29" s="134"/>
      <c r="R29" s="135"/>
    </row>
    <row r="30" spans="2:18">
      <c r="K30" s="137"/>
      <c r="Q30" s="134"/>
      <c r="R30" s="135"/>
    </row>
    <row r="31" spans="2:18">
      <c r="K31" s="136"/>
      <c r="Q31" s="134"/>
      <c r="R31" s="135"/>
    </row>
    <row r="32" spans="2:18">
      <c r="H32" s="136"/>
      <c r="K32" s="136"/>
      <c r="Q32" s="134"/>
      <c r="R32" s="135"/>
    </row>
    <row r="33" spans="8:32">
      <c r="H33" s="136"/>
      <c r="K33" s="136"/>
      <c r="Q33" s="134"/>
    </row>
    <row r="34" spans="8:32">
      <c r="H34" s="136"/>
      <c r="K34" s="136"/>
      <c r="Q34" s="134"/>
    </row>
    <row r="35" spans="8:32">
      <c r="H35" s="136"/>
      <c r="K35" s="136"/>
      <c r="Q35" s="134"/>
      <c r="S35" s="126"/>
      <c r="V35" s="124"/>
    </row>
    <row r="36" spans="8:32">
      <c r="K36" s="136"/>
      <c r="Q36" s="134"/>
      <c r="S36" s="126"/>
      <c r="V36" s="124"/>
    </row>
    <row r="37" spans="8:32">
      <c r="H37" s="136"/>
      <c r="K37" s="136"/>
      <c r="Q37" s="134"/>
      <c r="S37" s="126"/>
      <c r="V37" s="124"/>
    </row>
    <row r="38" spans="8:32">
      <c r="H38" s="136"/>
      <c r="K38" s="136"/>
      <c r="Q38" s="134"/>
      <c r="R38" s="135"/>
      <c r="S38" s="126"/>
      <c r="V38" s="124"/>
    </row>
    <row r="39" spans="8:32">
      <c r="H39" s="136"/>
      <c r="K39" s="136"/>
      <c r="Q39" s="134"/>
      <c r="S39" s="126"/>
      <c r="V39" s="124"/>
    </row>
    <row r="40" spans="8:32">
      <c r="H40" s="136"/>
      <c r="K40" s="136"/>
      <c r="Q40" s="134"/>
      <c r="S40" s="126"/>
      <c r="V40" s="124"/>
    </row>
    <row r="41" spans="8:32">
      <c r="H41" s="136"/>
      <c r="K41" s="136"/>
      <c r="Q41" s="136"/>
      <c r="AF41" s="129"/>
    </row>
    <row r="42" spans="8:32">
      <c r="H42" s="136"/>
      <c r="K42" s="136"/>
      <c r="P42" s="136"/>
      <c r="Q42" s="136"/>
      <c r="S42" s="561"/>
      <c r="AF42" s="129"/>
    </row>
    <row r="43" spans="8:32">
      <c r="H43" s="136"/>
      <c r="K43" s="136"/>
      <c r="P43" s="136"/>
      <c r="Q43" s="136"/>
      <c r="S43" s="561"/>
      <c r="AF43" s="129"/>
    </row>
    <row r="44" spans="8:32">
      <c r="H44" s="136"/>
      <c r="K44" s="136"/>
      <c r="N44" s="561"/>
      <c r="P44" s="136"/>
      <c r="Q44" s="136"/>
      <c r="S44" s="561"/>
    </row>
    <row r="45" spans="8:32">
      <c r="H45" s="136"/>
      <c r="K45" s="136"/>
      <c r="N45" s="561"/>
      <c r="P45" s="136"/>
      <c r="Q45" s="136"/>
      <c r="S45" s="561"/>
    </row>
    <row r="46" spans="8:32">
      <c r="H46" s="136"/>
      <c r="K46" s="136"/>
      <c r="N46" s="561"/>
      <c r="P46" s="136"/>
      <c r="Q46" s="136"/>
      <c r="R46" s="137"/>
      <c r="S46" s="561"/>
    </row>
    <row r="47" spans="8:32">
      <c r="H47" s="136"/>
      <c r="K47" s="136"/>
      <c r="N47" s="561"/>
      <c r="P47" s="136"/>
      <c r="Q47" s="136"/>
      <c r="S47" s="561"/>
    </row>
    <row r="48" spans="8:32">
      <c r="H48" s="136"/>
      <c r="K48" s="136"/>
      <c r="P48" s="136"/>
      <c r="Q48" s="136"/>
      <c r="S48" s="561"/>
    </row>
    <row r="49" spans="8:33">
      <c r="H49" s="136"/>
      <c r="K49" s="136"/>
      <c r="N49" s="561"/>
      <c r="P49" s="136"/>
      <c r="Q49" s="136"/>
      <c r="S49" s="561"/>
    </row>
    <row r="50" spans="8:33">
      <c r="H50" s="136"/>
      <c r="K50" s="136"/>
      <c r="N50" s="561"/>
      <c r="P50" s="136"/>
      <c r="Q50" s="136"/>
      <c r="S50" s="561"/>
    </row>
    <row r="51" spans="8:33">
      <c r="H51" s="136"/>
      <c r="K51" s="136"/>
      <c r="N51" s="561"/>
      <c r="P51" s="136"/>
      <c r="S51" s="561"/>
    </row>
    <row r="52" spans="8:33">
      <c r="H52" s="136"/>
      <c r="K52" s="136"/>
      <c r="N52" s="561"/>
      <c r="P52" s="136"/>
      <c r="S52" s="561"/>
    </row>
    <row r="53" spans="8:33">
      <c r="H53" s="136"/>
      <c r="K53" s="136"/>
      <c r="P53" s="136"/>
      <c r="S53" s="561"/>
    </row>
    <row r="54" spans="8:33">
      <c r="H54" s="136"/>
      <c r="K54" s="136"/>
      <c r="N54" s="561"/>
      <c r="P54" s="136"/>
      <c r="S54" s="561"/>
      <c r="AC54" s="126"/>
      <c r="AD54" s="126"/>
      <c r="AG54" s="126"/>
    </row>
    <row r="55" spans="8:33">
      <c r="H55" s="136"/>
      <c r="K55" s="136"/>
      <c r="N55" s="561"/>
      <c r="P55" s="136"/>
      <c r="S55" s="561"/>
      <c r="AC55" s="126"/>
      <c r="AD55" s="126"/>
      <c r="AG55" s="126"/>
    </row>
    <row r="56" spans="8:33">
      <c r="H56" s="136"/>
      <c r="K56" s="136"/>
      <c r="N56" s="561"/>
      <c r="P56" s="136"/>
      <c r="S56" s="561"/>
      <c r="AC56" s="126"/>
      <c r="AD56" s="126"/>
      <c r="AG56" s="126"/>
    </row>
    <row r="57" spans="8:33">
      <c r="H57" s="136"/>
      <c r="K57" s="136"/>
      <c r="N57" s="561"/>
      <c r="P57" s="136"/>
      <c r="S57" s="561"/>
      <c r="AC57" s="126"/>
      <c r="AD57" s="126"/>
      <c r="AG57" s="126"/>
    </row>
    <row r="58" spans="8:33">
      <c r="H58" s="136"/>
      <c r="K58" s="136"/>
      <c r="P58" s="136"/>
      <c r="S58" s="561"/>
      <c r="AC58" s="126"/>
      <c r="AD58" s="126"/>
      <c r="AG58" s="126"/>
    </row>
    <row r="59" spans="8:33">
      <c r="H59" s="136"/>
      <c r="K59" s="136"/>
      <c r="N59" s="561"/>
      <c r="P59" s="136"/>
      <c r="S59" s="561"/>
    </row>
    <row r="60" spans="8:33">
      <c r="H60" s="136"/>
      <c r="K60" s="136"/>
      <c r="N60" s="561"/>
      <c r="P60" s="136"/>
      <c r="S60" s="561"/>
    </row>
    <row r="61" spans="8:33">
      <c r="K61" s="136"/>
      <c r="N61" s="561"/>
      <c r="P61" s="136"/>
      <c r="S61" s="561"/>
    </row>
    <row r="62" spans="8:33">
      <c r="K62" s="136"/>
      <c r="N62" s="561"/>
      <c r="P62" s="136"/>
      <c r="S62" s="561"/>
    </row>
    <row r="63" spans="8:33">
      <c r="K63" s="136"/>
      <c r="P63" s="136"/>
      <c r="S63" s="561"/>
    </row>
    <row r="64" spans="8:33">
      <c r="K64" s="136"/>
      <c r="N64" s="561"/>
      <c r="P64" s="136"/>
      <c r="S64" s="561"/>
    </row>
    <row r="65" spans="11:34">
      <c r="K65" s="136"/>
      <c r="N65" s="561"/>
      <c r="P65" s="136"/>
      <c r="S65" s="561"/>
    </row>
    <row r="66" spans="11:34">
      <c r="K66" s="136"/>
      <c r="N66" s="561"/>
    </row>
    <row r="67" spans="11:34">
      <c r="K67" s="136"/>
      <c r="N67" s="561"/>
    </row>
    <row r="68" spans="11:34">
      <c r="K68" s="136"/>
    </row>
    <row r="69" spans="11:34">
      <c r="K69" s="136"/>
      <c r="N69" s="561"/>
    </row>
    <row r="70" spans="11:34">
      <c r="K70" s="136"/>
      <c r="N70" s="561"/>
    </row>
    <row r="71" spans="11:34">
      <c r="K71" s="136"/>
      <c r="N71" s="561"/>
    </row>
    <row r="72" spans="11:34">
      <c r="K72" s="136"/>
      <c r="N72" s="561"/>
    </row>
    <row r="73" spans="11:34">
      <c r="AA73" s="559"/>
      <c r="AB73" s="559"/>
      <c r="AF73" s="560"/>
      <c r="AG73" s="560"/>
    </row>
    <row r="74" spans="11:34">
      <c r="AC74" s="126"/>
      <c r="AH74" s="126"/>
    </row>
    <row r="75" spans="11:34">
      <c r="AC75" s="126"/>
      <c r="AH75" s="126"/>
    </row>
    <row r="76" spans="11:34">
      <c r="AC76" s="126"/>
      <c r="AH76" s="126"/>
    </row>
    <row r="77" spans="11:34">
      <c r="AC77" s="126"/>
      <c r="AH77" s="126"/>
    </row>
    <row r="78" spans="11:34">
      <c r="AC78" s="126"/>
    </row>
    <row r="86" spans="27:29">
      <c r="AA86" s="560"/>
      <c r="AB86" s="560"/>
    </row>
    <row r="87" spans="27:29">
      <c r="AC87" s="126"/>
    </row>
    <row r="88" spans="27:29">
      <c r="AC88" s="126"/>
    </row>
    <row r="89" spans="27:29">
      <c r="AC89" s="126"/>
    </row>
    <row r="90" spans="27:29">
      <c r="AC90" s="126"/>
    </row>
  </sheetData>
  <mergeCells count="15">
    <mergeCell ref="AA73:AB73"/>
    <mergeCell ref="AF73:AG73"/>
    <mergeCell ref="AA86:AB86"/>
    <mergeCell ref="N44:N47"/>
    <mergeCell ref="N49:N52"/>
    <mergeCell ref="N54:N57"/>
    <mergeCell ref="N59:N62"/>
    <mergeCell ref="N64:N67"/>
    <mergeCell ref="N69:N72"/>
    <mergeCell ref="S42:S45"/>
    <mergeCell ref="S46:S49"/>
    <mergeCell ref="S50:S53"/>
    <mergeCell ref="S54:S57"/>
    <mergeCell ref="S58:S61"/>
    <mergeCell ref="S62:S65"/>
  </mergeCells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776B-A65D-4C4B-84F3-9D7AD7A1D8AC}">
  <dimension ref="A1:AH39"/>
  <sheetViews>
    <sheetView topLeftCell="A10" workbookViewId="0">
      <selection activeCell="A24" sqref="A24"/>
    </sheetView>
  </sheetViews>
  <sheetFormatPr defaultRowHeight="12.75"/>
  <cols>
    <col min="1" max="1" width="40.85546875" customWidth="1"/>
    <col min="2" max="2" width="30.7109375" style="18" customWidth="1"/>
    <col min="3" max="3" width="26.85546875" customWidth="1"/>
    <col min="4" max="4" width="26.42578125" style="66" customWidth="1"/>
    <col min="5" max="5" width="31.5703125" style="66" bestFit="1" customWidth="1"/>
    <col min="10" max="10" width="9.140625" style="2"/>
    <col min="13" max="13" width="53.140625" customWidth="1"/>
    <col min="14" max="14" width="37.28515625" customWidth="1"/>
    <col min="29" max="29" width="29.85546875" customWidth="1"/>
    <col min="30" max="30" width="15.42578125" customWidth="1"/>
    <col min="31" max="31" width="18.140625" customWidth="1"/>
  </cols>
  <sheetData>
    <row r="1" spans="1:10">
      <c r="A1" s="155" t="s">
        <v>161</v>
      </c>
      <c r="B1" s="155" t="s">
        <v>256</v>
      </c>
      <c r="C1" s="155" t="s">
        <v>237</v>
      </c>
      <c r="D1" s="155" t="s">
        <v>257</v>
      </c>
      <c r="E1" s="155" t="s">
        <v>258</v>
      </c>
    </row>
    <row r="2" spans="1:10" ht="20.25">
      <c r="A2" s="157" t="s">
        <v>169</v>
      </c>
      <c r="B2" s="338" t="s">
        <v>557</v>
      </c>
      <c r="C2" s="337" t="s">
        <v>403</v>
      </c>
      <c r="D2" s="565">
        <v>125152</v>
      </c>
      <c r="E2" s="562" t="s">
        <v>558</v>
      </c>
    </row>
    <row r="3" spans="1:10" ht="20.25">
      <c r="A3" s="157" t="s">
        <v>173</v>
      </c>
      <c r="B3" s="338" t="s">
        <v>559</v>
      </c>
      <c r="C3" s="337" t="s">
        <v>451</v>
      </c>
      <c r="D3" s="565"/>
      <c r="E3" s="563"/>
    </row>
    <row r="4" spans="1:10" ht="20.25">
      <c r="A4" s="157" t="s">
        <v>163</v>
      </c>
      <c r="B4" s="338" t="s">
        <v>560</v>
      </c>
      <c r="C4" s="337" t="s">
        <v>403</v>
      </c>
      <c r="D4" s="565"/>
      <c r="E4" s="563"/>
    </row>
    <row r="5" spans="1:10" ht="20.25">
      <c r="A5" s="157" t="s">
        <v>165</v>
      </c>
      <c r="B5" s="338" t="s">
        <v>561</v>
      </c>
      <c r="C5" s="337" t="s">
        <v>452</v>
      </c>
      <c r="D5" s="565"/>
      <c r="E5" s="563"/>
    </row>
    <row r="6" spans="1:10" ht="20.25">
      <c r="A6" s="158" t="s">
        <v>182</v>
      </c>
      <c r="B6" s="338" t="s">
        <v>562</v>
      </c>
      <c r="C6" s="337" t="s">
        <v>403</v>
      </c>
      <c r="D6" s="565"/>
      <c r="E6" s="563"/>
      <c r="H6" s="89"/>
      <c r="J6" s="153"/>
    </row>
    <row r="7" spans="1:10" ht="20.25">
      <c r="A7" s="157" t="s">
        <v>233</v>
      </c>
      <c r="B7" s="338" t="s">
        <v>563</v>
      </c>
      <c r="C7" s="337" t="s">
        <v>403</v>
      </c>
      <c r="D7" s="565"/>
      <c r="E7" s="563"/>
      <c r="J7"/>
    </row>
    <row r="8" spans="1:10" ht="20.25">
      <c r="A8" s="158" t="s">
        <v>184</v>
      </c>
      <c r="B8" s="338" t="s">
        <v>564</v>
      </c>
      <c r="C8" s="337" t="s">
        <v>403</v>
      </c>
      <c r="D8" s="565"/>
      <c r="E8" s="563"/>
      <c r="H8" s="2"/>
    </row>
    <row r="9" spans="1:10" ht="20.25">
      <c r="A9" s="158" t="s">
        <v>180</v>
      </c>
      <c r="B9" s="338" t="s">
        <v>565</v>
      </c>
      <c r="C9" s="337" t="s">
        <v>566</v>
      </c>
      <c r="D9" s="565"/>
      <c r="E9" s="563"/>
    </row>
    <row r="10" spans="1:10" ht="20.25">
      <c r="A10" s="158" t="s">
        <v>167</v>
      </c>
      <c r="B10" s="338" t="s">
        <v>567</v>
      </c>
      <c r="C10" s="337" t="s">
        <v>568</v>
      </c>
      <c r="D10" s="565"/>
      <c r="E10" s="563"/>
    </row>
    <row r="11" spans="1:10" ht="20.25">
      <c r="A11" s="157" t="s">
        <v>176</v>
      </c>
      <c r="B11" s="338" t="s">
        <v>569</v>
      </c>
      <c r="C11" s="337" t="s">
        <v>570</v>
      </c>
      <c r="D11" s="565"/>
      <c r="E11" s="563"/>
    </row>
    <row r="12" spans="1:10" ht="20.25">
      <c r="A12" s="157" t="s">
        <v>171</v>
      </c>
      <c r="B12" s="338" t="s">
        <v>571</v>
      </c>
      <c r="C12" s="337" t="s">
        <v>572</v>
      </c>
      <c r="D12" s="565"/>
      <c r="E12" s="563"/>
    </row>
    <row r="13" spans="1:10" ht="20.25">
      <c r="A13" s="157" t="s">
        <v>178</v>
      </c>
      <c r="B13" s="338" t="s">
        <v>573</v>
      </c>
      <c r="C13" s="337" t="s">
        <v>574</v>
      </c>
      <c r="D13" s="565"/>
      <c r="E13" s="564"/>
    </row>
    <row r="14" spans="1:10">
      <c r="H14" s="111"/>
    </row>
    <row r="15" spans="1:10">
      <c r="H15" s="111"/>
    </row>
    <row r="16" spans="1:10">
      <c r="H16" s="111"/>
    </row>
    <row r="17" spans="1:34">
      <c r="H17" s="111"/>
    </row>
    <row r="18" spans="1:34">
      <c r="H18" s="111"/>
    </row>
    <row r="19" spans="1:34">
      <c r="F19" s="1"/>
      <c r="H19" s="111"/>
    </row>
    <row r="20" spans="1:34">
      <c r="H20" s="111"/>
      <c r="R20" s="154"/>
      <c r="AH20" s="154"/>
    </row>
    <row r="21" spans="1:34">
      <c r="M21" s="11"/>
      <c r="R21" s="154"/>
    </row>
    <row r="24" spans="1:34">
      <c r="A24" s="11" t="s">
        <v>240</v>
      </c>
    </row>
    <row r="27" spans="1:34">
      <c r="A27" s="82" t="s">
        <v>161</v>
      </c>
      <c r="B27" s="83" t="s">
        <v>185</v>
      </c>
      <c r="C27" s="566" t="s">
        <v>237</v>
      </c>
      <c r="D27" s="567"/>
    </row>
    <row r="28" spans="1:34">
      <c r="A28" s="84" t="s">
        <v>162</v>
      </c>
      <c r="B28" s="84" t="s">
        <v>163</v>
      </c>
      <c r="C28" s="568" t="s">
        <v>236</v>
      </c>
      <c r="D28" s="81"/>
    </row>
    <row r="29" spans="1:34" ht="22.5">
      <c r="A29" s="84" t="s">
        <v>164</v>
      </c>
      <c r="B29" s="84" t="s">
        <v>165</v>
      </c>
      <c r="C29" s="569"/>
      <c r="D29" s="81" t="s">
        <v>164</v>
      </c>
    </row>
    <row r="30" spans="1:34">
      <c r="A30" s="84" t="s">
        <v>166</v>
      </c>
      <c r="B30" s="84" t="s">
        <v>167</v>
      </c>
      <c r="C30" s="569"/>
      <c r="D30" s="81" t="s">
        <v>259</v>
      </c>
    </row>
    <row r="31" spans="1:34" ht="22.5">
      <c r="A31" s="84" t="s">
        <v>168</v>
      </c>
      <c r="B31" s="84" t="s">
        <v>169</v>
      </c>
      <c r="C31" s="569"/>
      <c r="D31" s="81"/>
    </row>
    <row r="32" spans="1:34">
      <c r="A32" s="84" t="s">
        <v>170</v>
      </c>
      <c r="B32" s="84" t="s">
        <v>171</v>
      </c>
      <c r="C32" s="569"/>
      <c r="D32" s="81" t="s">
        <v>170</v>
      </c>
    </row>
    <row r="33" spans="1:4">
      <c r="A33" s="84" t="s">
        <v>172</v>
      </c>
      <c r="B33" s="84" t="s">
        <v>173</v>
      </c>
      <c r="C33" s="569"/>
      <c r="D33" s="81"/>
    </row>
    <row r="34" spans="1:4">
      <c r="A34" s="84" t="s">
        <v>174</v>
      </c>
      <c r="B34" s="84" t="s">
        <v>233</v>
      </c>
      <c r="C34" s="569"/>
      <c r="D34" s="81"/>
    </row>
    <row r="35" spans="1:4">
      <c r="A35" s="84" t="s">
        <v>175</v>
      </c>
      <c r="B35" s="84" t="s">
        <v>176</v>
      </c>
      <c r="C35" s="569"/>
      <c r="D35" s="81" t="s">
        <v>235</v>
      </c>
    </row>
    <row r="36" spans="1:4">
      <c r="A36" s="84" t="s">
        <v>177</v>
      </c>
      <c r="B36" s="84" t="s">
        <v>178</v>
      </c>
      <c r="C36" s="569"/>
      <c r="D36" s="85" t="s">
        <v>234</v>
      </c>
    </row>
    <row r="37" spans="1:4">
      <c r="A37" s="84" t="s">
        <v>179</v>
      </c>
      <c r="B37" s="84" t="s">
        <v>180</v>
      </c>
      <c r="C37" s="569"/>
      <c r="D37" s="86" t="s">
        <v>179</v>
      </c>
    </row>
    <row r="38" spans="1:4">
      <c r="A38" s="84" t="s">
        <v>181</v>
      </c>
      <c r="B38" s="84" t="s">
        <v>182</v>
      </c>
      <c r="C38" s="569"/>
      <c r="D38" s="81"/>
    </row>
    <row r="39" spans="1:4">
      <c r="A39" s="84" t="s">
        <v>183</v>
      </c>
      <c r="B39" s="84" t="s">
        <v>184</v>
      </c>
      <c r="C39" s="570"/>
      <c r="D39" s="81"/>
    </row>
  </sheetData>
  <mergeCells count="4">
    <mergeCell ref="E2:E13"/>
    <mergeCell ref="D2:D13"/>
    <mergeCell ref="C27:D27"/>
    <mergeCell ref="C28:C3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0E32-C319-434B-B4E8-091ECDE4E6D0}">
  <dimension ref="A1:H36"/>
  <sheetViews>
    <sheetView topLeftCell="A25" workbookViewId="0">
      <selection activeCell="A21" sqref="A21:D30"/>
    </sheetView>
  </sheetViews>
  <sheetFormatPr defaultRowHeight="12.75"/>
  <cols>
    <col min="1" max="1" width="38.7109375" customWidth="1"/>
    <col min="2" max="2" width="11.85546875" bestFit="1" customWidth="1"/>
    <col min="3" max="3" width="13.7109375" customWidth="1"/>
    <col min="4" max="4" width="14.140625" bestFit="1" customWidth="1"/>
  </cols>
  <sheetData>
    <row r="1" spans="1:8">
      <c r="A1" s="162" t="s">
        <v>260</v>
      </c>
      <c r="B1" s="162" t="s">
        <v>53</v>
      </c>
      <c r="C1" s="162" t="s">
        <v>1</v>
      </c>
      <c r="D1" s="162" t="s">
        <v>261</v>
      </c>
      <c r="E1" s="163"/>
      <c r="F1" s="163"/>
      <c r="G1" s="163"/>
      <c r="H1" s="163"/>
    </row>
    <row r="2" spans="1:8" ht="18">
      <c r="A2" s="257" t="s">
        <v>404</v>
      </c>
      <c r="B2" s="194">
        <v>58917</v>
      </c>
      <c r="C2" s="194">
        <v>73288</v>
      </c>
      <c r="D2" s="194" t="s">
        <v>468</v>
      </c>
      <c r="E2" s="163"/>
      <c r="F2" s="163"/>
      <c r="G2" s="163"/>
      <c r="H2" s="163"/>
    </row>
    <row r="3" spans="1:8" ht="18">
      <c r="A3" s="257" t="s">
        <v>407</v>
      </c>
      <c r="B3" s="194">
        <v>31775</v>
      </c>
      <c r="C3" s="194">
        <v>39551</v>
      </c>
      <c r="D3" s="194" t="s">
        <v>575</v>
      </c>
      <c r="E3" s="163"/>
      <c r="F3" s="163"/>
      <c r="G3" s="163"/>
      <c r="H3" s="163"/>
    </row>
    <row r="4" spans="1:8" ht="18">
      <c r="A4" s="257" t="s">
        <v>405</v>
      </c>
      <c r="B4" s="194">
        <v>30717</v>
      </c>
      <c r="C4" s="194">
        <v>36767</v>
      </c>
      <c r="D4" s="194" t="s">
        <v>576</v>
      </c>
      <c r="E4" s="163"/>
      <c r="F4" s="163"/>
      <c r="G4" s="163"/>
      <c r="H4" s="163"/>
    </row>
    <row r="5" spans="1:8" ht="18">
      <c r="A5" s="257" t="s">
        <v>410</v>
      </c>
      <c r="B5" s="194">
        <v>23617</v>
      </c>
      <c r="C5" s="194">
        <v>30232</v>
      </c>
      <c r="D5" s="194" t="s">
        <v>577</v>
      </c>
      <c r="E5" s="163"/>
      <c r="F5" s="163"/>
      <c r="G5" s="163"/>
      <c r="H5" s="163"/>
    </row>
    <row r="6" spans="1:8" ht="18">
      <c r="A6" s="257" t="s">
        <v>409</v>
      </c>
      <c r="B6" s="194">
        <v>23580</v>
      </c>
      <c r="C6" s="194">
        <v>28634</v>
      </c>
      <c r="D6" s="194" t="s">
        <v>578</v>
      </c>
      <c r="E6" s="163"/>
      <c r="F6" s="163"/>
      <c r="G6" s="163"/>
      <c r="H6" s="163"/>
    </row>
    <row r="7" spans="1:8" ht="18">
      <c r="A7" s="257" t="s">
        <v>413</v>
      </c>
      <c r="B7" s="194">
        <v>15194</v>
      </c>
      <c r="C7" s="194">
        <v>19003</v>
      </c>
      <c r="D7" s="194" t="s">
        <v>466</v>
      </c>
      <c r="E7" s="163"/>
      <c r="F7" s="163"/>
      <c r="G7" s="163"/>
      <c r="H7" s="163"/>
    </row>
    <row r="8" spans="1:8" ht="18">
      <c r="A8" s="257" t="s">
        <v>414</v>
      </c>
      <c r="B8" s="194">
        <v>13866</v>
      </c>
      <c r="C8" s="194">
        <v>16330</v>
      </c>
      <c r="D8" s="194" t="s">
        <v>579</v>
      </c>
      <c r="E8" s="163"/>
      <c r="F8" s="163"/>
      <c r="G8" s="163"/>
      <c r="H8" s="163"/>
    </row>
    <row r="9" spans="1:8" ht="18">
      <c r="A9" s="257" t="s">
        <v>412</v>
      </c>
      <c r="B9" s="194">
        <v>10767</v>
      </c>
      <c r="C9" s="194">
        <v>13970</v>
      </c>
      <c r="D9" s="194" t="s">
        <v>580</v>
      </c>
      <c r="E9" s="163"/>
      <c r="F9" s="163"/>
      <c r="G9" s="163"/>
      <c r="H9" s="163"/>
    </row>
    <row r="10" spans="1:8" ht="18">
      <c r="A10" s="257" t="s">
        <v>406</v>
      </c>
      <c r="B10" s="194">
        <v>10226</v>
      </c>
      <c r="C10" s="194">
        <v>12359</v>
      </c>
      <c r="D10" s="194" t="s">
        <v>581</v>
      </c>
      <c r="E10" s="163"/>
      <c r="F10" s="163"/>
      <c r="G10" s="163"/>
      <c r="H10" s="163"/>
    </row>
    <row r="11" spans="1:8" ht="18">
      <c r="A11" s="257" t="s">
        <v>415</v>
      </c>
      <c r="B11" s="194">
        <v>8956</v>
      </c>
      <c r="C11" s="194">
        <v>10679</v>
      </c>
      <c r="D11" s="194" t="s">
        <v>582</v>
      </c>
      <c r="E11" s="163"/>
      <c r="F11" s="163"/>
      <c r="G11" s="163"/>
      <c r="H11" s="163"/>
    </row>
    <row r="12" spans="1:8">
      <c r="A12" s="164" t="s">
        <v>411</v>
      </c>
      <c r="B12" s="156">
        <v>7735</v>
      </c>
      <c r="C12" s="156">
        <v>9178</v>
      </c>
      <c r="D12" s="156" t="s">
        <v>583</v>
      </c>
      <c r="E12" s="163"/>
      <c r="F12" s="163"/>
      <c r="G12" s="163"/>
      <c r="H12" s="163"/>
    </row>
    <row r="13" spans="1:8">
      <c r="A13" s="164" t="s">
        <v>408</v>
      </c>
      <c r="B13" s="156">
        <v>4295</v>
      </c>
      <c r="C13" s="156">
        <v>5328</v>
      </c>
      <c r="D13" s="156" t="s">
        <v>584</v>
      </c>
      <c r="E13" s="163"/>
      <c r="F13" s="163"/>
      <c r="G13" s="163"/>
      <c r="H13" s="163"/>
    </row>
    <row r="14" spans="1:8">
      <c r="A14" s="164" t="s">
        <v>416</v>
      </c>
      <c r="B14" s="156">
        <v>3976</v>
      </c>
      <c r="C14" s="156">
        <v>4986</v>
      </c>
      <c r="D14" s="156" t="s">
        <v>585</v>
      </c>
      <c r="E14" s="163"/>
      <c r="F14" s="163"/>
      <c r="G14" s="163"/>
      <c r="H14" s="163"/>
    </row>
    <row r="15" spans="1:8">
      <c r="A15" s="164" t="s">
        <v>418</v>
      </c>
      <c r="B15" s="156">
        <v>176</v>
      </c>
      <c r="C15" s="156">
        <v>228</v>
      </c>
      <c r="D15" s="156" t="s">
        <v>586</v>
      </c>
      <c r="E15" s="163"/>
      <c r="F15" s="163"/>
      <c r="G15" s="163"/>
      <c r="H15" s="163"/>
    </row>
    <row r="16" spans="1:8">
      <c r="A16" s="164" t="s">
        <v>417</v>
      </c>
      <c r="B16" s="156">
        <v>62</v>
      </c>
      <c r="C16" s="156">
        <v>77</v>
      </c>
      <c r="D16" s="156" t="s">
        <v>587</v>
      </c>
      <c r="E16" s="163"/>
      <c r="F16" s="163"/>
      <c r="G16" s="163"/>
      <c r="H16" s="163"/>
    </row>
    <row r="17" spans="1:8">
      <c r="A17" s="163"/>
      <c r="B17" s="160"/>
      <c r="C17" s="160"/>
      <c r="D17" s="160"/>
      <c r="E17" s="163"/>
      <c r="F17" s="163"/>
      <c r="G17" s="163"/>
      <c r="H17" s="163"/>
    </row>
    <row r="18" spans="1:8">
      <c r="A18" s="163"/>
      <c r="B18" s="163"/>
      <c r="C18" s="163"/>
      <c r="D18" s="163"/>
      <c r="E18" s="163"/>
      <c r="F18" s="163"/>
      <c r="G18" s="163"/>
      <c r="H18" s="163"/>
    </row>
    <row r="19" spans="1:8">
      <c r="A19" s="163"/>
      <c r="B19" s="163"/>
      <c r="C19" s="163"/>
      <c r="D19" s="163"/>
      <c r="E19" s="163"/>
      <c r="F19" s="163"/>
      <c r="G19" s="163"/>
      <c r="H19" s="163"/>
    </row>
    <row r="20" spans="1:8">
      <c r="A20" s="162" t="s">
        <v>260</v>
      </c>
      <c r="B20" s="162" t="s">
        <v>53</v>
      </c>
      <c r="C20" s="162" t="s">
        <v>1</v>
      </c>
      <c r="D20" s="162" t="s">
        <v>261</v>
      </c>
      <c r="E20" s="163"/>
      <c r="F20" s="163"/>
      <c r="G20" s="163"/>
      <c r="H20" s="163"/>
    </row>
    <row r="21" spans="1:8">
      <c r="A21" s="339" t="s">
        <v>404</v>
      </c>
      <c r="B21" s="336">
        <v>565994</v>
      </c>
      <c r="C21" s="130">
        <v>704924</v>
      </c>
      <c r="D21" s="336" t="s">
        <v>467</v>
      </c>
      <c r="E21" s="163"/>
      <c r="F21" s="163"/>
      <c r="G21" s="163"/>
      <c r="H21" s="163"/>
    </row>
    <row r="22" spans="1:8">
      <c r="A22" s="339" t="s">
        <v>407</v>
      </c>
      <c r="B22" s="336">
        <v>267831</v>
      </c>
      <c r="C22" s="130">
        <v>331646</v>
      </c>
      <c r="D22" s="336" t="s">
        <v>588</v>
      </c>
      <c r="E22" s="163"/>
      <c r="F22" s="163"/>
      <c r="G22" s="163"/>
      <c r="H22" s="163"/>
    </row>
    <row r="23" spans="1:8">
      <c r="A23" s="339" t="s">
        <v>414</v>
      </c>
      <c r="B23" s="336">
        <v>235540</v>
      </c>
      <c r="C23" s="336">
        <v>284537</v>
      </c>
      <c r="D23" s="336" t="s">
        <v>589</v>
      </c>
      <c r="E23" s="163"/>
      <c r="F23" s="163"/>
      <c r="G23" s="163"/>
      <c r="H23" s="163"/>
    </row>
    <row r="24" spans="1:8">
      <c r="A24" s="339" t="s">
        <v>405</v>
      </c>
      <c r="B24" s="336">
        <v>233164</v>
      </c>
      <c r="C24" s="336">
        <v>282992</v>
      </c>
      <c r="D24" s="336" t="s">
        <v>590</v>
      </c>
      <c r="E24" s="163"/>
      <c r="F24" s="163"/>
      <c r="G24" s="163"/>
      <c r="H24" s="163"/>
    </row>
    <row r="25" spans="1:8">
      <c r="A25" s="339" t="s">
        <v>409</v>
      </c>
      <c r="B25" s="336">
        <v>210130</v>
      </c>
      <c r="C25" s="336">
        <v>259298</v>
      </c>
      <c r="D25" s="336" t="s">
        <v>465</v>
      </c>
      <c r="E25" s="163"/>
      <c r="F25" s="163"/>
      <c r="G25" s="163"/>
      <c r="H25" s="163"/>
    </row>
    <row r="26" spans="1:8">
      <c r="A26" s="339" t="s">
        <v>406</v>
      </c>
      <c r="B26" s="336">
        <v>197132</v>
      </c>
      <c r="C26" s="336">
        <v>229404</v>
      </c>
      <c r="D26" s="336" t="s">
        <v>591</v>
      </c>
      <c r="E26" s="163"/>
      <c r="F26" s="163"/>
      <c r="G26" s="163"/>
      <c r="H26" s="163"/>
    </row>
    <row r="27" spans="1:8">
      <c r="A27" s="339" t="s">
        <v>413</v>
      </c>
      <c r="B27" s="336">
        <v>164836</v>
      </c>
      <c r="C27" s="336">
        <v>198257</v>
      </c>
      <c r="D27" s="336" t="s">
        <v>592</v>
      </c>
      <c r="E27" s="163"/>
      <c r="F27" s="163"/>
      <c r="G27" s="163"/>
      <c r="H27" s="163"/>
    </row>
    <row r="28" spans="1:8">
      <c r="A28" s="339" t="s">
        <v>410</v>
      </c>
      <c r="B28" s="336">
        <v>154360</v>
      </c>
      <c r="C28" s="336">
        <v>206728</v>
      </c>
      <c r="D28" s="336" t="s">
        <v>593</v>
      </c>
      <c r="E28" s="163"/>
      <c r="F28" s="163"/>
      <c r="G28" s="163"/>
      <c r="H28" s="163"/>
    </row>
    <row r="29" spans="1:8">
      <c r="A29" s="339" t="s">
        <v>412</v>
      </c>
      <c r="B29" s="336">
        <v>115576</v>
      </c>
      <c r="C29" s="336">
        <v>147610</v>
      </c>
      <c r="D29" s="336" t="s">
        <v>594</v>
      </c>
      <c r="E29" s="163"/>
      <c r="F29" s="163"/>
      <c r="G29" s="163"/>
      <c r="H29" s="163"/>
    </row>
    <row r="30" spans="1:8">
      <c r="A30" s="339" t="s">
        <v>411</v>
      </c>
      <c r="B30" s="336">
        <v>114990</v>
      </c>
      <c r="C30" s="336">
        <v>139422</v>
      </c>
      <c r="D30" s="336" t="s">
        <v>595</v>
      </c>
      <c r="E30" s="163"/>
      <c r="F30" s="163"/>
      <c r="G30" s="163"/>
      <c r="H30" s="163"/>
    </row>
    <row r="31" spans="1:8">
      <c r="A31" s="339" t="s">
        <v>408</v>
      </c>
      <c r="B31" s="336">
        <v>89012</v>
      </c>
      <c r="C31" s="336">
        <v>103091</v>
      </c>
      <c r="D31" s="336" t="s">
        <v>466</v>
      </c>
      <c r="E31" s="163"/>
      <c r="F31" s="163"/>
      <c r="G31" s="163"/>
      <c r="H31" s="163"/>
    </row>
    <row r="32" spans="1:8">
      <c r="A32" s="339" t="s">
        <v>415</v>
      </c>
      <c r="B32" s="336">
        <v>74093</v>
      </c>
      <c r="C32" s="336">
        <v>93776</v>
      </c>
      <c r="D32" s="336" t="s">
        <v>578</v>
      </c>
      <c r="E32" s="163"/>
      <c r="F32" s="163"/>
      <c r="G32" s="163"/>
      <c r="H32" s="163"/>
    </row>
    <row r="33" spans="1:8">
      <c r="A33" s="339" t="s">
        <v>416</v>
      </c>
      <c r="B33" s="336">
        <v>44853</v>
      </c>
      <c r="C33" s="336">
        <v>58724</v>
      </c>
      <c r="D33" s="336" t="s">
        <v>596</v>
      </c>
      <c r="E33" s="163"/>
      <c r="F33" s="163"/>
      <c r="G33" s="163"/>
      <c r="H33" s="163"/>
    </row>
    <row r="34" spans="1:8">
      <c r="A34" s="129" t="s">
        <v>418</v>
      </c>
      <c r="B34" s="130">
        <v>671</v>
      </c>
      <c r="C34" s="130">
        <v>866</v>
      </c>
      <c r="D34" s="130" t="s">
        <v>597</v>
      </c>
    </row>
    <row r="35" spans="1:8">
      <c r="A35" s="129" t="s">
        <v>417</v>
      </c>
      <c r="B35" s="130">
        <v>188</v>
      </c>
      <c r="C35" s="130">
        <v>236</v>
      </c>
      <c r="D35" s="130" t="s">
        <v>598</v>
      </c>
    </row>
    <row r="36" spans="1:8">
      <c r="A36" s="124"/>
      <c r="B36" s="124"/>
      <c r="C36" s="124"/>
      <c r="D36" s="12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320"/>
  <sheetViews>
    <sheetView topLeftCell="A28" workbookViewId="0">
      <selection activeCell="L57" sqref="L57"/>
    </sheetView>
  </sheetViews>
  <sheetFormatPr defaultRowHeight="18"/>
  <cols>
    <col min="1" max="1" width="7.28515625" style="218" bestFit="1" customWidth="1"/>
    <col min="2" max="2" width="48.85546875" style="218" bestFit="1" customWidth="1"/>
    <col min="3" max="3" width="16.140625" style="218" bestFit="1" customWidth="1"/>
    <col min="4" max="4" width="16.140625" style="223" bestFit="1" customWidth="1"/>
    <col min="5" max="5" width="24" style="218" bestFit="1" customWidth="1"/>
    <col min="6" max="6" width="16.140625" style="218" bestFit="1" customWidth="1"/>
    <col min="7" max="7" width="12" style="218" bestFit="1" customWidth="1"/>
    <col min="8" max="10" width="9.140625" style="218"/>
    <col min="11" max="11" width="11" style="218" bestFit="1" customWidth="1"/>
    <col min="12" max="12" width="28.5703125" style="218" customWidth="1"/>
    <col min="13" max="13" width="11.140625" style="218" bestFit="1" customWidth="1"/>
    <col min="14" max="14" width="21.5703125" style="218" bestFit="1" customWidth="1"/>
    <col min="15" max="15" width="21.42578125" style="218" bestFit="1" customWidth="1"/>
    <col min="16" max="19" width="9.140625" style="218"/>
    <col min="20" max="20" width="21.42578125" style="218" bestFit="1" customWidth="1"/>
    <col min="21" max="21" width="48.85546875" style="218" bestFit="1" customWidth="1"/>
    <col min="22" max="22" width="12.28515625" style="218" bestFit="1" customWidth="1"/>
    <col min="23" max="23" width="16.140625" style="218" bestFit="1" customWidth="1"/>
    <col min="24" max="16384" width="9.140625" style="218"/>
  </cols>
  <sheetData>
    <row r="1" spans="1:23">
      <c r="B1" s="572" t="s">
        <v>155</v>
      </c>
      <c r="C1" s="572"/>
      <c r="D1" s="572"/>
      <c r="E1" s="572"/>
    </row>
    <row r="2" spans="1:23" ht="18.75" thickBot="1"/>
    <row r="3" spans="1:23">
      <c r="A3" s="214" t="s">
        <v>153</v>
      </c>
      <c r="B3" s="215" t="s">
        <v>152</v>
      </c>
      <c r="C3" s="215" t="s">
        <v>83</v>
      </c>
      <c r="D3" s="215" t="s">
        <v>151</v>
      </c>
      <c r="E3" s="215" t="s">
        <v>84</v>
      </c>
      <c r="F3" s="216" t="s">
        <v>151</v>
      </c>
    </row>
    <row r="4" spans="1:23">
      <c r="A4" s="217">
        <v>1</v>
      </c>
      <c r="B4" s="218" t="s">
        <v>81</v>
      </c>
      <c r="C4" s="239">
        <v>435656</v>
      </c>
      <c r="D4" s="240">
        <f>C4 /  $C$14</f>
        <v>0.11019197902473411</v>
      </c>
      <c r="E4" s="239">
        <v>302774</v>
      </c>
      <c r="F4" s="241">
        <f>E4 / $E$14</f>
        <v>0.18090564554146996</v>
      </c>
    </row>
    <row r="5" spans="1:23">
      <c r="A5" s="217">
        <v>2</v>
      </c>
      <c r="B5" s="218" t="s">
        <v>125</v>
      </c>
      <c r="C5" s="239">
        <v>434357</v>
      </c>
      <c r="D5" s="240">
        <f>C5 /  $C$14</f>
        <v>0.10986341846146142</v>
      </c>
      <c r="E5" s="239">
        <v>242167</v>
      </c>
      <c r="F5" s="241">
        <f t="shared" ref="F5:F11" si="0">E5 / $E$14</f>
        <v>0.14469332724686121</v>
      </c>
    </row>
    <row r="6" spans="1:23">
      <c r="A6" s="217">
        <v>3</v>
      </c>
      <c r="B6" s="218" t="s">
        <v>56</v>
      </c>
      <c r="C6" s="239">
        <v>431338</v>
      </c>
      <c r="D6" s="240">
        <f>C6 /  $C$14</f>
        <v>0.10909981234866675</v>
      </c>
      <c r="E6" s="239">
        <v>199590</v>
      </c>
      <c r="F6" s="241">
        <f>E6 / $E$14</f>
        <v>0.11925382560464898</v>
      </c>
    </row>
    <row r="7" spans="1:23">
      <c r="A7" s="217">
        <v>4</v>
      </c>
      <c r="B7" s="218" t="s">
        <v>130</v>
      </c>
      <c r="C7" s="239">
        <v>273093</v>
      </c>
      <c r="D7" s="240">
        <f>C7 /  $C$14</f>
        <v>6.9074357125350538E-2</v>
      </c>
      <c r="E7" s="239">
        <v>152929</v>
      </c>
      <c r="F7" s="241">
        <f t="shared" si="0"/>
        <v>9.1374158504400838E-2</v>
      </c>
    </row>
    <row r="8" spans="1:23">
      <c r="A8" s="217">
        <v>5</v>
      </c>
      <c r="B8" s="218" t="s">
        <v>463</v>
      </c>
      <c r="C8" s="239">
        <v>220319</v>
      </c>
      <c r="D8" s="240">
        <f>C8 /  $C$14</f>
        <v>5.5726046758796839E-2</v>
      </c>
      <c r="E8" s="239">
        <v>148703</v>
      </c>
      <c r="F8" s="241">
        <f t="shared" si="0"/>
        <v>8.884914889968494E-2</v>
      </c>
    </row>
    <row r="9" spans="1:23">
      <c r="A9" s="217">
        <v>6</v>
      </c>
      <c r="B9" s="218" t="s">
        <v>58</v>
      </c>
      <c r="C9" s="239">
        <v>198608</v>
      </c>
      <c r="D9" s="240">
        <f t="shared" ref="D9:D13" si="1">C9 /  $C$14</f>
        <v>5.023460842991808E-2</v>
      </c>
      <c r="E9" s="239">
        <v>16518</v>
      </c>
      <c r="F9" s="241">
        <f t="shared" si="0"/>
        <v>9.8694057384517853E-3</v>
      </c>
      <c r="U9" s="218" t="s">
        <v>56</v>
      </c>
      <c r="V9" s="218">
        <v>3641104</v>
      </c>
      <c r="W9" s="218">
        <v>2065856</v>
      </c>
    </row>
    <row r="10" spans="1:23">
      <c r="A10" s="217">
        <v>7</v>
      </c>
      <c r="B10" s="218" t="s">
        <v>124</v>
      </c>
      <c r="C10" s="239">
        <v>169366</v>
      </c>
      <c r="D10" s="240">
        <f t="shared" si="1"/>
        <v>4.283832822112657E-2</v>
      </c>
      <c r="E10" s="239">
        <v>76013</v>
      </c>
      <c r="F10" s="241">
        <f>E10 / $E$14</f>
        <v>4.541731071539748E-2</v>
      </c>
      <c r="U10" s="218" t="s">
        <v>59</v>
      </c>
      <c r="V10" s="218">
        <v>3627783</v>
      </c>
      <c r="W10" s="218">
        <v>2578524</v>
      </c>
    </row>
    <row r="11" spans="1:23">
      <c r="A11" s="217">
        <v>8</v>
      </c>
      <c r="B11" s="218" t="s">
        <v>57</v>
      </c>
      <c r="C11" s="239">
        <v>135563</v>
      </c>
      <c r="D11" s="240">
        <f t="shared" si="1"/>
        <v>3.4288418505724769E-2</v>
      </c>
      <c r="E11" s="239">
        <v>42030</v>
      </c>
      <c r="F11" s="241">
        <f t="shared" si="0"/>
        <v>2.5112672429297041E-2</v>
      </c>
      <c r="U11" s="218" t="s">
        <v>133</v>
      </c>
      <c r="V11" s="218">
        <v>3046568</v>
      </c>
      <c r="W11" s="218">
        <v>2061639</v>
      </c>
    </row>
    <row r="12" spans="1:23">
      <c r="A12" s="217">
        <v>9</v>
      </c>
      <c r="B12" s="218" t="s">
        <v>59</v>
      </c>
      <c r="C12" s="239">
        <v>116117</v>
      </c>
      <c r="D12" s="240">
        <f t="shared" si="1"/>
        <v>2.9369874461536282E-2</v>
      </c>
      <c r="E12" s="239">
        <v>54567</v>
      </c>
      <c r="F12" s="241">
        <f>E12 / $E$14</f>
        <v>3.2603454590755455E-2</v>
      </c>
      <c r="U12" s="218" t="s">
        <v>81</v>
      </c>
      <c r="V12" s="218">
        <v>2590701</v>
      </c>
      <c r="W12" s="218">
        <v>1196886</v>
      </c>
    </row>
    <row r="13" spans="1:23">
      <c r="A13" s="217">
        <v>10</v>
      </c>
      <c r="B13" s="218" t="s">
        <v>127</v>
      </c>
      <c r="C13" s="239">
        <v>104335</v>
      </c>
      <c r="D13" s="240">
        <f t="shared" si="1"/>
        <v>2.6389812447310798E-2</v>
      </c>
      <c r="E13" s="239">
        <v>35774</v>
      </c>
      <c r="F13" s="241">
        <f>E13 / $E$14</f>
        <v>2.1374750023451638E-2</v>
      </c>
      <c r="U13" s="218" t="s">
        <v>125</v>
      </c>
      <c r="V13" s="218">
        <v>1893051</v>
      </c>
      <c r="W13" s="218">
        <v>1142366</v>
      </c>
    </row>
    <row r="14" spans="1:23" ht="18.75" thickBot="1">
      <c r="A14" s="219"/>
      <c r="B14" s="220"/>
      <c r="C14" s="244">
        <v>3953609</v>
      </c>
      <c r="D14" s="221">
        <f>SUM(D4:D13)</f>
        <v>0.63707665578462602</v>
      </c>
      <c r="E14" s="222">
        <v>1673657</v>
      </c>
      <c r="F14" s="245">
        <f>SUM(F4:F13)</f>
        <v>0.7594536992944193</v>
      </c>
      <c r="U14" s="218" t="s">
        <v>57</v>
      </c>
      <c r="V14" s="218">
        <v>1560879</v>
      </c>
      <c r="W14" s="218">
        <v>981618</v>
      </c>
    </row>
    <row r="15" spans="1:23">
      <c r="C15" s="224"/>
      <c r="U15" s="218" t="s">
        <v>226</v>
      </c>
      <c r="V15" s="218">
        <v>1258673</v>
      </c>
      <c r="W15" s="218">
        <v>803479</v>
      </c>
    </row>
    <row r="16" spans="1:23" ht="18.75" thickBot="1">
      <c r="C16" s="225"/>
      <c r="U16" s="218" t="s">
        <v>124</v>
      </c>
      <c r="V16" s="218">
        <v>976564</v>
      </c>
      <c r="W16" s="218">
        <v>668485</v>
      </c>
    </row>
    <row r="17" spans="1:23" ht="12.75" customHeight="1">
      <c r="A17" s="573" t="str">
        <f>" - Top 10 sections constitute " &amp; TEXT(D14, "0.00%") &amp; " of Page views. (Total Page views – " &amp; TEXT(C14, "#,##0") &amp; ")" &amp; CHAR(10) &amp; " - " &amp; TEXT(F14, "0.00%") &amp; " of page views are unique Page views for top 10 sections."</f>
        <v xml:space="preserve"> - Top 10 sections constitute 63.71% of Page views. (Total Page views – 39,53,609)
 - 75.95% of page views are unique Page views for top 10 sections.</v>
      </c>
      <c r="B17" s="574" t="s">
        <v>133</v>
      </c>
      <c r="C17" s="574">
        <v>92195</v>
      </c>
      <c r="D17" s="574"/>
      <c r="E17" s="574">
        <v>16446</v>
      </c>
      <c r="F17" s="575"/>
      <c r="G17" s="226"/>
      <c r="H17" s="226"/>
      <c r="I17" s="226"/>
      <c r="J17" s="226"/>
      <c r="U17" s="218" t="s">
        <v>58</v>
      </c>
      <c r="V17" s="218">
        <v>859398</v>
      </c>
      <c r="W17" s="218">
        <v>517912</v>
      </c>
    </row>
    <row r="18" spans="1:23" ht="12.75" customHeight="1">
      <c r="A18" s="576"/>
      <c r="B18" s="577" t="s">
        <v>226</v>
      </c>
      <c r="C18" s="577">
        <v>84553</v>
      </c>
      <c r="D18" s="577"/>
      <c r="E18" s="577">
        <v>72113</v>
      </c>
      <c r="F18" s="578"/>
      <c r="G18" s="226"/>
      <c r="H18" s="226"/>
      <c r="I18" s="226"/>
      <c r="J18" s="226"/>
      <c r="U18" s="218" t="s">
        <v>127</v>
      </c>
      <c r="V18" s="218">
        <v>822530</v>
      </c>
      <c r="W18" s="218">
        <v>564497</v>
      </c>
    </row>
    <row r="19" spans="1:23" ht="12.75" customHeight="1">
      <c r="A19" s="576"/>
      <c r="B19" s="577"/>
      <c r="C19" s="577"/>
      <c r="D19" s="577"/>
      <c r="E19" s="577"/>
      <c r="F19" s="578"/>
      <c r="G19" s="226"/>
      <c r="H19" s="226"/>
      <c r="I19" s="226"/>
      <c r="J19" s="226"/>
    </row>
    <row r="20" spans="1:23" ht="12.75" customHeight="1">
      <c r="A20" s="576"/>
      <c r="B20" s="577"/>
      <c r="C20" s="577"/>
      <c r="D20" s="577"/>
      <c r="E20" s="577"/>
      <c r="F20" s="578"/>
      <c r="G20" s="226"/>
      <c r="H20" s="226"/>
      <c r="I20" s="226"/>
      <c r="J20" s="226"/>
    </row>
    <row r="21" spans="1:23" ht="12.75" customHeight="1">
      <c r="A21" s="576"/>
      <c r="B21" s="577"/>
      <c r="C21" s="577"/>
      <c r="D21" s="577"/>
      <c r="E21" s="577"/>
      <c r="F21" s="578"/>
      <c r="G21" s="226"/>
      <c r="H21" s="226"/>
      <c r="I21" s="226"/>
      <c r="J21" s="226"/>
    </row>
    <row r="22" spans="1:23" ht="12.75" customHeight="1">
      <c r="A22" s="576"/>
      <c r="B22" s="577"/>
      <c r="C22" s="577"/>
      <c r="D22" s="577"/>
      <c r="E22" s="577"/>
      <c r="F22" s="578"/>
      <c r="G22" s="226"/>
      <c r="H22" s="226"/>
      <c r="I22" s="226"/>
      <c r="J22" s="226"/>
    </row>
    <row r="23" spans="1:23" ht="12.75" customHeight="1" thickBot="1">
      <c r="A23" s="579"/>
      <c r="B23" s="580"/>
      <c r="C23" s="580"/>
      <c r="D23" s="580"/>
      <c r="E23" s="580"/>
      <c r="F23" s="581"/>
      <c r="G23" s="226"/>
      <c r="H23" s="226"/>
      <c r="I23" s="226"/>
      <c r="J23" s="226"/>
    </row>
    <row r="24" spans="1:23" ht="12.75" customHeight="1">
      <c r="B24" s="227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</row>
    <row r="25" spans="1:23">
      <c r="B25" s="571" t="s">
        <v>154</v>
      </c>
      <c r="C25" s="571"/>
      <c r="D25" s="571"/>
      <c r="E25" s="571"/>
      <c r="F25" s="227"/>
      <c r="J25" s="227"/>
      <c r="K25" s="227"/>
      <c r="L25" s="227"/>
      <c r="M25" s="227"/>
    </row>
    <row r="26" spans="1:23" ht="12.75" customHeight="1" thickBot="1">
      <c r="B26" s="227"/>
      <c r="C26" s="227"/>
      <c r="D26" s="227"/>
      <c r="E26" s="227"/>
      <c r="F26" s="227"/>
      <c r="J26" s="227"/>
      <c r="K26" s="227"/>
      <c r="L26" s="227"/>
      <c r="M26" s="227"/>
    </row>
    <row r="27" spans="1:23" ht="18.75" thickBot="1">
      <c r="A27" s="235" t="s">
        <v>153</v>
      </c>
      <c r="B27" s="235" t="s">
        <v>152</v>
      </c>
      <c r="C27" s="235" t="s">
        <v>83</v>
      </c>
      <c r="D27" s="235" t="s">
        <v>151</v>
      </c>
      <c r="E27" s="235" t="s">
        <v>84</v>
      </c>
      <c r="F27" s="235" t="s">
        <v>151</v>
      </c>
      <c r="J27" s="227"/>
      <c r="K27" s="227"/>
      <c r="L27" s="228"/>
      <c r="N27" s="227"/>
      <c r="T27" s="229" t="s">
        <v>135</v>
      </c>
      <c r="U27" s="230">
        <v>2542304</v>
      </c>
      <c r="V27" s="231">
        <v>48384</v>
      </c>
      <c r="W27" s="232">
        <f>SUM(U27:V27)</f>
        <v>2590688</v>
      </c>
    </row>
    <row r="28" spans="1:23" ht="20.25" customHeight="1" thickBot="1">
      <c r="A28" s="200">
        <v>1</v>
      </c>
      <c r="B28" s="200" t="s">
        <v>56</v>
      </c>
      <c r="C28" s="194">
        <v>4354608</v>
      </c>
      <c r="D28" s="195">
        <f>C28/ $C$38</f>
        <v>0.11806631130433373</v>
      </c>
      <c r="E28" s="194">
        <v>2059610</v>
      </c>
      <c r="F28" s="195">
        <f t="shared" ref="F28:F37" si="2">E28 / $E$38</f>
        <v>0.13656415122238114</v>
      </c>
      <c r="J28" s="227"/>
      <c r="K28" s="227"/>
      <c r="L28" s="228"/>
      <c r="N28" s="227"/>
      <c r="T28" s="229" t="s">
        <v>141</v>
      </c>
      <c r="U28" s="230">
        <v>896824</v>
      </c>
      <c r="V28" s="231">
        <v>111688</v>
      </c>
      <c r="W28" s="232">
        <f t="shared" ref="W28:W38" si="3">SUM(U28:V28)</f>
        <v>1008512</v>
      </c>
    </row>
    <row r="29" spans="1:23" ht="20.25" customHeight="1" thickBot="1">
      <c r="A29" s="200">
        <v>2</v>
      </c>
      <c r="B29" s="200" t="s">
        <v>130</v>
      </c>
      <c r="C29" s="194">
        <v>3515747</v>
      </c>
      <c r="D29" s="195">
        <f>C29/ $C$38</f>
        <v>9.5322306799895049E-2</v>
      </c>
      <c r="E29" s="194">
        <v>2212061</v>
      </c>
      <c r="F29" s="195">
        <f t="shared" si="2"/>
        <v>0.1466725413632346</v>
      </c>
      <c r="J29" s="227"/>
      <c r="K29" s="227"/>
      <c r="L29" s="228"/>
      <c r="N29" s="227"/>
      <c r="T29" s="229" t="s">
        <v>227</v>
      </c>
      <c r="U29" s="230">
        <v>264833</v>
      </c>
      <c r="V29" s="231">
        <v>44444</v>
      </c>
      <c r="W29" s="232">
        <f t="shared" si="3"/>
        <v>309277</v>
      </c>
    </row>
    <row r="30" spans="1:23" ht="21.75" thickBot="1">
      <c r="A30" s="200">
        <v>3</v>
      </c>
      <c r="B30" s="200" t="s">
        <v>59</v>
      </c>
      <c r="C30" s="194">
        <v>3180166</v>
      </c>
      <c r="D30" s="195">
        <f t="shared" ref="D30:D37" si="4">C30/ $C$38</f>
        <v>8.6223712663793792E-2</v>
      </c>
      <c r="E30" s="194">
        <v>1926637</v>
      </c>
      <c r="F30" s="195">
        <f t="shared" si="2"/>
        <v>0.12774726604485059</v>
      </c>
      <c r="J30" s="227"/>
      <c r="K30" s="316"/>
      <c r="L30" s="228"/>
      <c r="N30" s="227"/>
      <c r="T30" s="229" t="s">
        <v>136</v>
      </c>
      <c r="U30" s="230">
        <v>3566533</v>
      </c>
      <c r="V30" s="231">
        <v>61226</v>
      </c>
      <c r="W30" s="232">
        <f t="shared" si="3"/>
        <v>3627759</v>
      </c>
    </row>
    <row r="31" spans="1:23" ht="18.75" thickBot="1">
      <c r="A31" s="200">
        <v>4</v>
      </c>
      <c r="B31" s="200" t="s">
        <v>81</v>
      </c>
      <c r="C31" s="194">
        <v>2614892</v>
      </c>
      <c r="D31" s="195">
        <f>C31/ $C$38</f>
        <v>7.089746147051855E-2</v>
      </c>
      <c r="E31" s="194">
        <v>1319060</v>
      </c>
      <c r="F31" s="195">
        <f t="shared" si="2"/>
        <v>8.7461368565599343E-2</v>
      </c>
      <c r="J31" s="227"/>
      <c r="K31" s="227"/>
      <c r="L31" s="228"/>
      <c r="N31" s="227"/>
      <c r="T31" s="229" t="s">
        <v>139</v>
      </c>
      <c r="U31" s="230">
        <v>541489</v>
      </c>
      <c r="V31" s="231">
        <v>43347</v>
      </c>
      <c r="W31" s="232">
        <f t="shared" si="3"/>
        <v>584836</v>
      </c>
    </row>
    <row r="32" spans="1:23" ht="21.75" customHeight="1" thickBot="1">
      <c r="A32" s="200">
        <v>5</v>
      </c>
      <c r="B32" s="200" t="s">
        <v>125</v>
      </c>
      <c r="C32" s="194">
        <v>2381580</v>
      </c>
      <c r="D32" s="195">
        <f>C32/ $C$38</f>
        <v>6.45716826121146E-2</v>
      </c>
      <c r="E32" s="194">
        <v>1116361</v>
      </c>
      <c r="F32" s="195">
        <f t="shared" si="2"/>
        <v>7.4021243061923675E-2</v>
      </c>
      <c r="J32" s="227"/>
      <c r="K32" s="227"/>
      <c r="L32" s="228"/>
      <c r="N32" s="227"/>
      <c r="T32" s="229" t="s">
        <v>140</v>
      </c>
      <c r="U32" s="230">
        <v>934355</v>
      </c>
      <c r="V32" s="231">
        <v>84613</v>
      </c>
      <c r="W32" s="232">
        <f t="shared" si="3"/>
        <v>1018968</v>
      </c>
    </row>
    <row r="33" spans="1:23" ht="19.5" customHeight="1" thickBot="1">
      <c r="A33" s="200">
        <v>6</v>
      </c>
      <c r="B33" s="200" t="s">
        <v>58</v>
      </c>
      <c r="C33" s="194">
        <v>1912540</v>
      </c>
      <c r="D33" s="195">
        <f>C33/ $C$38</f>
        <v>5.1854619984620987E-2</v>
      </c>
      <c r="E33" s="194">
        <v>148244</v>
      </c>
      <c r="F33" s="195">
        <f t="shared" si="2"/>
        <v>9.829441512621646E-3</v>
      </c>
      <c r="J33" s="227"/>
      <c r="K33" s="227"/>
      <c r="L33" s="228"/>
      <c r="N33" s="227"/>
      <c r="T33" s="229" t="s">
        <v>138</v>
      </c>
      <c r="U33" s="230">
        <v>1173201</v>
      </c>
      <c r="V33" s="231">
        <v>191154</v>
      </c>
      <c r="W33" s="232">
        <f t="shared" si="3"/>
        <v>1364355</v>
      </c>
    </row>
    <row r="34" spans="1:23" ht="18.75" thickBot="1">
      <c r="A34" s="200">
        <v>7</v>
      </c>
      <c r="B34" s="200" t="s">
        <v>57</v>
      </c>
      <c r="C34" s="194">
        <v>1750094</v>
      </c>
      <c r="D34" s="195">
        <f t="shared" si="4"/>
        <v>4.7450228129798738E-2</v>
      </c>
      <c r="E34" s="194">
        <v>760295</v>
      </c>
      <c r="F34" s="195">
        <f t="shared" si="2"/>
        <v>5.0411991276804964E-2</v>
      </c>
      <c r="J34" s="227"/>
      <c r="K34" s="227"/>
      <c r="L34" s="228"/>
      <c r="N34" s="227"/>
      <c r="T34" s="229" t="s">
        <v>132</v>
      </c>
      <c r="U34" s="230">
        <v>284393</v>
      </c>
      <c r="V34" s="231">
        <v>33640</v>
      </c>
      <c r="W34" s="232">
        <f t="shared" si="3"/>
        <v>318033</v>
      </c>
    </row>
    <row r="35" spans="1:23" ht="18.75" thickBot="1">
      <c r="A35" s="200">
        <v>8</v>
      </c>
      <c r="B35" s="200" t="s">
        <v>133</v>
      </c>
      <c r="C35" s="194">
        <v>1193473</v>
      </c>
      <c r="D35" s="195">
        <f t="shared" si="4"/>
        <v>3.2358585376988491E-2</v>
      </c>
      <c r="E35" s="194">
        <v>390008</v>
      </c>
      <c r="F35" s="195">
        <f t="shared" si="2"/>
        <v>2.585980427845001E-2</v>
      </c>
      <c r="G35" s="227"/>
      <c r="H35" s="227"/>
      <c r="I35" s="227"/>
      <c r="J35" s="227"/>
      <c r="K35" s="227"/>
      <c r="L35" s="228"/>
      <c r="N35" s="227"/>
      <c r="T35" s="229" t="s">
        <v>142</v>
      </c>
      <c r="U35" s="230">
        <v>466357</v>
      </c>
      <c r="V35" s="231">
        <v>42511</v>
      </c>
      <c r="W35" s="232">
        <f t="shared" si="3"/>
        <v>508868</v>
      </c>
    </row>
    <row r="36" spans="1:23" ht="18.75" customHeight="1" thickBot="1">
      <c r="A36" s="200">
        <v>9</v>
      </c>
      <c r="B36" s="200" t="s">
        <v>124</v>
      </c>
      <c r="C36" s="194">
        <v>1179052</v>
      </c>
      <c r="D36" s="195">
        <f t="shared" si="4"/>
        <v>3.1967589384853307E-2</v>
      </c>
      <c r="E36" s="194">
        <v>488040</v>
      </c>
      <c r="F36" s="195">
        <f t="shared" si="2"/>
        <v>3.2359897438141633E-2</v>
      </c>
      <c r="G36" s="227"/>
      <c r="H36" s="227"/>
      <c r="I36" s="227"/>
      <c r="J36" s="227"/>
      <c r="K36" s="227"/>
      <c r="L36" s="228"/>
      <c r="N36" s="227"/>
      <c r="T36" s="229" t="s">
        <v>137</v>
      </c>
      <c r="U36" s="230">
        <v>1752895</v>
      </c>
      <c r="V36" s="231">
        <v>140112</v>
      </c>
      <c r="W36" s="232">
        <f t="shared" si="3"/>
        <v>1893007</v>
      </c>
    </row>
    <row r="37" spans="1:23" ht="18" customHeight="1" thickBot="1">
      <c r="A37" s="200">
        <v>10</v>
      </c>
      <c r="B37" s="200" t="s">
        <v>127</v>
      </c>
      <c r="C37" s="194">
        <v>1139472</v>
      </c>
      <c r="D37" s="195">
        <f t="shared" si="4"/>
        <v>3.089445843909986E-2</v>
      </c>
      <c r="E37" s="194">
        <v>521109</v>
      </c>
      <c r="F37" s="195">
        <f t="shared" si="2"/>
        <v>3.4552564941587878E-2</v>
      </c>
      <c r="G37" s="227"/>
      <c r="H37" s="227"/>
      <c r="I37" s="227"/>
      <c r="J37" s="227"/>
      <c r="K37" s="227"/>
      <c r="L37" s="228"/>
      <c r="N37" s="227"/>
      <c r="T37" s="229" t="s">
        <v>134</v>
      </c>
      <c r="U37" s="230">
        <v>2468266</v>
      </c>
      <c r="V37" s="231">
        <v>578266</v>
      </c>
      <c r="W37" s="232">
        <f t="shared" si="3"/>
        <v>3046532</v>
      </c>
    </row>
    <row r="38" spans="1:23" ht="18.75" thickBot="1">
      <c r="A38" s="236"/>
      <c r="B38" s="236" t="s">
        <v>150</v>
      </c>
      <c r="C38" s="243">
        <v>36882731</v>
      </c>
      <c r="D38" s="237">
        <f>SUM(D28:D37)</f>
        <v>0.62960695616601714</v>
      </c>
      <c r="E38" s="242">
        <v>15081630</v>
      </c>
      <c r="F38" s="238">
        <f>SUM(F28:F37)</f>
        <v>0.72548026970559543</v>
      </c>
      <c r="G38" s="227"/>
      <c r="H38" s="227"/>
      <c r="I38" s="227"/>
      <c r="J38" s="227"/>
      <c r="K38" s="227"/>
      <c r="L38" s="228"/>
      <c r="N38" s="227"/>
      <c r="T38" s="229" t="s">
        <v>93</v>
      </c>
      <c r="U38" s="230">
        <v>282210</v>
      </c>
      <c r="V38" s="231">
        <v>37096</v>
      </c>
      <c r="W38" s="232">
        <f t="shared" si="3"/>
        <v>319306</v>
      </c>
    </row>
    <row r="39" spans="1:23" ht="12.75" customHeight="1">
      <c r="B39" s="227"/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W39" s="232">
        <f>SUM(W27:W38)</f>
        <v>16590141</v>
      </c>
    </row>
    <row r="40" spans="1:23" ht="12.75" customHeight="1">
      <c r="A40" s="577" t="str">
        <f>" - Top 10 sections constitute " &amp; TEXT(D38, "0.00%") &amp; " of Page views. (Total Page views – " &amp; TEXT(C38, "#,##0") &amp; ")" &amp; CHAR(10) &amp; " - " &amp; TEXT(F38, "0.00%") &amp; " of page views are unique Page views for top 10 sections."</f>
        <v xml:space="preserve"> - Top 10 sections constitute 62.96% of Page views. (Total Page views – 3,68,82,731)
 - 72.55% of page views are unique Page views for top 10 sections.</v>
      </c>
      <c r="B40" s="577"/>
      <c r="C40" s="577"/>
      <c r="D40" s="577"/>
      <c r="E40" s="577"/>
      <c r="F40" s="577"/>
      <c r="G40" s="227"/>
      <c r="H40" s="227"/>
      <c r="I40" s="227"/>
      <c r="J40" s="227"/>
      <c r="K40" s="227"/>
      <c r="L40" s="227"/>
      <c r="M40" s="227"/>
      <c r="N40" s="227"/>
    </row>
    <row r="41" spans="1:23" ht="30" customHeight="1">
      <c r="A41" s="577"/>
      <c r="B41" s="577"/>
      <c r="C41" s="577"/>
      <c r="D41" s="577"/>
      <c r="E41" s="577"/>
      <c r="F41" s="577"/>
    </row>
    <row r="42" spans="1:23" ht="15.75" customHeight="1">
      <c r="A42" s="577"/>
      <c r="B42" s="577"/>
      <c r="C42" s="577"/>
      <c r="D42" s="577"/>
      <c r="E42" s="577"/>
      <c r="F42" s="577"/>
    </row>
    <row r="43" spans="1:23" ht="15" customHeight="1">
      <c r="A43" s="577"/>
      <c r="B43" s="577"/>
      <c r="C43" s="577"/>
      <c r="D43" s="577"/>
      <c r="E43" s="577"/>
      <c r="F43" s="577"/>
    </row>
    <row r="44" spans="1:23" ht="15.75" customHeight="1">
      <c r="A44" s="577"/>
      <c r="B44" s="577"/>
      <c r="C44" s="577"/>
      <c r="D44" s="577"/>
      <c r="E44" s="577"/>
      <c r="F44" s="577"/>
    </row>
    <row r="45" spans="1:23" ht="15" customHeight="1">
      <c r="A45" s="577"/>
      <c r="B45" s="577"/>
      <c r="C45" s="577"/>
      <c r="D45" s="577"/>
      <c r="E45" s="577"/>
      <c r="F45" s="577"/>
    </row>
    <row r="46" spans="1:23" ht="15.75" customHeight="1">
      <c r="A46" s="577"/>
      <c r="B46" s="577"/>
      <c r="C46" s="577"/>
      <c r="D46" s="577"/>
      <c r="E46" s="577"/>
      <c r="F46" s="577"/>
    </row>
    <row r="49" spans="4:4">
      <c r="D49" s="218"/>
    </row>
    <row r="50" spans="4:4">
      <c r="D50" s="218"/>
    </row>
    <row r="51" spans="4:4">
      <c r="D51" s="218"/>
    </row>
    <row r="52" spans="4:4">
      <c r="D52" s="218"/>
    </row>
    <row r="53" spans="4:4">
      <c r="D53" s="218"/>
    </row>
    <row r="54" spans="4:4">
      <c r="D54" s="218"/>
    </row>
    <row r="55" spans="4:4">
      <c r="D55" s="218"/>
    </row>
    <row r="56" spans="4:4">
      <c r="D56" s="218"/>
    </row>
    <row r="57" spans="4:4">
      <c r="D57" s="218"/>
    </row>
    <row r="58" spans="4:4">
      <c r="D58" s="218"/>
    </row>
    <row r="65" spans="4:4">
      <c r="D65" s="218"/>
    </row>
    <row r="66" spans="4:4">
      <c r="D66" s="218"/>
    </row>
    <row r="67" spans="4:4">
      <c r="D67" s="218"/>
    </row>
    <row r="68" spans="4:4">
      <c r="D68" s="218"/>
    </row>
    <row r="69" spans="4:4">
      <c r="D69" s="218"/>
    </row>
    <row r="70" spans="4:4">
      <c r="D70" s="218"/>
    </row>
    <row r="71" spans="4:4">
      <c r="D71" s="218"/>
    </row>
    <row r="72" spans="4:4">
      <c r="D72" s="218"/>
    </row>
    <row r="73" spans="4:4">
      <c r="D73" s="218"/>
    </row>
    <row r="74" spans="4:4">
      <c r="D74" s="218"/>
    </row>
    <row r="310" spans="3:7">
      <c r="C310" s="232"/>
      <c r="D310" s="233"/>
      <c r="E310" s="232"/>
      <c r="F310" s="224"/>
    </row>
    <row r="311" spans="3:7">
      <c r="E311" s="234"/>
      <c r="F311" s="224"/>
      <c r="G311" s="224"/>
    </row>
    <row r="312" spans="3:7">
      <c r="E312" s="234"/>
      <c r="F312" s="224"/>
      <c r="G312" s="224"/>
    </row>
    <row r="313" spans="3:7">
      <c r="E313" s="234"/>
      <c r="F313" s="224"/>
      <c r="G313" s="224"/>
    </row>
    <row r="314" spans="3:7">
      <c r="E314" s="234"/>
      <c r="F314" s="224"/>
      <c r="G314" s="224"/>
    </row>
    <row r="315" spans="3:7">
      <c r="E315" s="234"/>
      <c r="F315" s="224"/>
      <c r="G315" s="224"/>
    </row>
    <row r="316" spans="3:7">
      <c r="E316" s="234"/>
      <c r="F316" s="224"/>
      <c r="G316" s="224"/>
    </row>
    <row r="317" spans="3:7">
      <c r="E317" s="234"/>
      <c r="F317" s="224"/>
      <c r="G317" s="224"/>
    </row>
    <row r="318" spans="3:7">
      <c r="E318" s="234"/>
      <c r="F318" s="224"/>
      <c r="G318" s="224"/>
    </row>
    <row r="319" spans="3:7">
      <c r="E319" s="234"/>
      <c r="F319" s="224"/>
      <c r="G319" s="224"/>
    </row>
    <row r="320" spans="3:7">
      <c r="E320" s="234"/>
      <c r="F320" s="224"/>
      <c r="G320" s="224"/>
    </row>
  </sheetData>
  <sortState xmlns:xlrd2="http://schemas.microsoft.com/office/spreadsheetml/2017/richdata2" ref="L9:O21">
    <sortCondition ref="L9:L21"/>
  </sortState>
  <mergeCells count="4">
    <mergeCell ref="B25:E25"/>
    <mergeCell ref="B1:E1"/>
    <mergeCell ref="A17:F23"/>
    <mergeCell ref="A40:F46"/>
  </mergeCells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79"/>
  <sheetViews>
    <sheetView topLeftCell="A76" workbookViewId="0">
      <selection activeCell="C28" sqref="C28"/>
    </sheetView>
  </sheetViews>
  <sheetFormatPr defaultRowHeight="12.75"/>
  <cols>
    <col min="1" max="1" width="32" customWidth="1"/>
    <col min="2" max="2" width="23.28515625" customWidth="1"/>
    <col min="3" max="3" width="20" style="2" customWidth="1"/>
    <col min="4" max="4" width="14.140625" customWidth="1"/>
    <col min="5" max="5" width="10.7109375" bestFit="1" customWidth="1"/>
    <col min="6" max="6" width="12.140625" bestFit="1" customWidth="1"/>
    <col min="7" max="7" width="35.5703125" customWidth="1"/>
    <col min="8" max="8" width="13.5703125" customWidth="1"/>
    <col min="9" max="9" width="23.7109375" customWidth="1"/>
    <col min="18" max="18" width="10.42578125" customWidth="1"/>
    <col min="20" max="20" width="10.140625" bestFit="1" customWidth="1"/>
  </cols>
  <sheetData>
    <row r="1" spans="1:6" ht="24.75" customHeight="1">
      <c r="A1" s="171" t="s">
        <v>92</v>
      </c>
      <c r="B1" s="171" t="s">
        <v>53</v>
      </c>
      <c r="C1" s="172" t="s">
        <v>18</v>
      </c>
    </row>
    <row r="2" spans="1:6" ht="27.75" customHeight="1">
      <c r="A2" s="173" t="s">
        <v>273</v>
      </c>
      <c r="B2" s="176">
        <v>826161</v>
      </c>
      <c r="C2" s="180">
        <f>B2/$B$19*100</f>
        <v>35.99510108905352</v>
      </c>
      <c r="D2" s="2"/>
    </row>
    <row r="3" spans="1:6" ht="24" customHeight="1">
      <c r="A3" s="173" t="s">
        <v>275</v>
      </c>
      <c r="B3" s="156">
        <v>525246</v>
      </c>
      <c r="C3" s="180">
        <f t="shared" ref="C3:C17" si="0">B3/$B$19*100</f>
        <v>22.884501769777327</v>
      </c>
      <c r="D3" s="2"/>
    </row>
    <row r="4" spans="1:6" ht="24.75" customHeight="1">
      <c r="A4" s="173" t="s">
        <v>274</v>
      </c>
      <c r="B4" s="156">
        <v>354451</v>
      </c>
      <c r="C4" s="180">
        <f t="shared" si="0"/>
        <v>15.443115296069543</v>
      </c>
      <c r="D4" s="2"/>
    </row>
    <row r="5" spans="1:6" ht="21" customHeight="1">
      <c r="A5" s="173" t="s">
        <v>277</v>
      </c>
      <c r="B5" s="156">
        <v>228757</v>
      </c>
      <c r="C5" s="180">
        <f t="shared" si="0"/>
        <v>9.9667393399453825</v>
      </c>
      <c r="D5" s="2"/>
      <c r="F5" s="2"/>
    </row>
    <row r="6" spans="1:6" ht="23.25" customHeight="1">
      <c r="A6" s="173" t="s">
        <v>276</v>
      </c>
      <c r="B6" s="156">
        <v>133993</v>
      </c>
      <c r="C6" s="180">
        <f t="shared" si="0"/>
        <v>5.8379560161101152</v>
      </c>
      <c r="D6" s="2"/>
    </row>
    <row r="7" spans="1:6" ht="26.25" customHeight="1">
      <c r="A7" s="173" t="s">
        <v>278</v>
      </c>
      <c r="B7" s="156">
        <v>106292</v>
      </c>
      <c r="C7" s="180">
        <f t="shared" si="0"/>
        <v>4.6310480462738823</v>
      </c>
      <c r="D7" s="2"/>
    </row>
    <row r="8" spans="1:6" ht="24.75" customHeight="1">
      <c r="A8" s="173" t="s">
        <v>282</v>
      </c>
      <c r="B8" s="156">
        <v>92719</v>
      </c>
      <c r="C8" s="180">
        <f t="shared" si="0"/>
        <v>4.0396844899189785</v>
      </c>
      <c r="D8" s="2"/>
    </row>
    <row r="9" spans="1:6" ht="24" customHeight="1">
      <c r="A9" s="173" t="s">
        <v>280</v>
      </c>
      <c r="B9" s="156">
        <v>16835</v>
      </c>
      <c r="C9" s="180">
        <f t="shared" si="0"/>
        <v>0.73348599950156945</v>
      </c>
      <c r="D9" s="2"/>
    </row>
    <row r="10" spans="1:6" ht="22.5" customHeight="1">
      <c r="A10" s="173" t="s">
        <v>272</v>
      </c>
      <c r="B10" s="156">
        <v>10744</v>
      </c>
      <c r="C10" s="180">
        <f t="shared" si="0"/>
        <v>0.46810653867804342</v>
      </c>
    </row>
    <row r="11" spans="1:6" ht="22.5" customHeight="1">
      <c r="A11" s="173" t="s">
        <v>286</v>
      </c>
      <c r="B11" s="156">
        <v>4516</v>
      </c>
      <c r="C11" s="180">
        <f t="shared" si="0"/>
        <v>0.19675810951880532</v>
      </c>
    </row>
    <row r="12" spans="1:6" ht="22.5" customHeight="1">
      <c r="A12" s="174" t="s">
        <v>284</v>
      </c>
      <c r="B12" s="156">
        <v>2859</v>
      </c>
      <c r="C12" s="180">
        <f t="shared" si="0"/>
        <v>0.12456409103504525</v>
      </c>
    </row>
    <row r="13" spans="1:6" ht="21" customHeight="1">
      <c r="A13" s="173" t="s">
        <v>285</v>
      </c>
      <c r="B13" s="156">
        <v>745</v>
      </c>
      <c r="C13" s="180">
        <f t="shared" si="0"/>
        <v>3.2458988394931346E-2</v>
      </c>
    </row>
    <row r="14" spans="1:6" ht="21" customHeight="1">
      <c r="A14" s="173" t="s">
        <v>283</v>
      </c>
      <c r="B14" s="156">
        <v>258</v>
      </c>
      <c r="C14" s="180">
        <f t="shared" si="0"/>
        <v>1.124083088039233E-2</v>
      </c>
    </row>
    <row r="15" spans="1:6" ht="22.5" customHeight="1">
      <c r="A15" s="173" t="s">
        <v>279</v>
      </c>
      <c r="B15" s="156">
        <v>140</v>
      </c>
      <c r="C15" s="180">
        <f t="shared" si="0"/>
        <v>6.0996756715307222E-3</v>
      </c>
    </row>
    <row r="16" spans="1:6" ht="21.75" customHeight="1">
      <c r="A16" s="173" t="s">
        <v>281</v>
      </c>
      <c r="B16" s="156">
        <v>68</v>
      </c>
      <c r="C16" s="180">
        <f t="shared" si="0"/>
        <v>2.9626996118863507E-3</v>
      </c>
    </row>
    <row r="17" spans="1:5" ht="21.75" customHeight="1">
      <c r="A17" s="173" t="s">
        <v>287</v>
      </c>
      <c r="B17" s="156">
        <v>1</v>
      </c>
      <c r="C17" s="180">
        <f t="shared" si="0"/>
        <v>4.356911193950516E-5</v>
      </c>
    </row>
    <row r="18" spans="1:5" ht="26.25" customHeight="1">
      <c r="A18" s="111"/>
      <c r="B18" s="163"/>
      <c r="D18" s="1"/>
    </row>
    <row r="19" spans="1:5" ht="14.25">
      <c r="B19" s="177">
        <v>2295204</v>
      </c>
      <c r="D19" s="170"/>
      <c r="E19" s="1"/>
    </row>
    <row r="20" spans="1:5" ht="14.25">
      <c r="B20" s="178"/>
    </row>
    <row r="21" spans="1:5" ht="14.25">
      <c r="B21" s="178"/>
    </row>
    <row r="22" spans="1:5">
      <c r="B22" s="163"/>
    </row>
    <row r="23" spans="1:5" ht="23.25" customHeight="1">
      <c r="A23" s="173" t="s">
        <v>273</v>
      </c>
      <c r="B23" s="156">
        <v>589980</v>
      </c>
      <c r="C23" s="180">
        <f>B23/$B$19*100</f>
        <v>25.704904662069257</v>
      </c>
    </row>
    <row r="24" spans="1:5" ht="23.25" customHeight="1">
      <c r="A24" s="173" t="s">
        <v>275</v>
      </c>
      <c r="B24" s="156">
        <v>498702</v>
      </c>
      <c r="C24" s="180">
        <f>B24/$B$19*100</f>
        <v>21.728003262455104</v>
      </c>
    </row>
    <row r="25" spans="1:5" ht="21.75" customHeight="1">
      <c r="A25" s="173" t="s">
        <v>274</v>
      </c>
      <c r="B25" s="156">
        <v>341586</v>
      </c>
      <c r="C25" s="180">
        <f>B25/$B$19*100</f>
        <v>14.882598670967809</v>
      </c>
    </row>
    <row r="26" spans="1:5" ht="24" customHeight="1">
      <c r="A26" s="173" t="s">
        <v>277</v>
      </c>
      <c r="B26" s="156">
        <v>171047</v>
      </c>
      <c r="C26" s="180">
        <f>B26/$B$19*100</f>
        <v>7.452365889916539</v>
      </c>
    </row>
    <row r="27" spans="1:5" ht="23.25" customHeight="1">
      <c r="A27" s="173" t="s">
        <v>276</v>
      </c>
      <c r="B27" s="156">
        <v>132388</v>
      </c>
      <c r="C27" s="180">
        <f>B27/$B$19*100</f>
        <v>5.7680275914472094</v>
      </c>
    </row>
    <row r="28" spans="1:5" ht="24.75" customHeight="1">
      <c r="A28" s="173" t="s">
        <v>282</v>
      </c>
      <c r="B28" s="156">
        <v>90331</v>
      </c>
      <c r="C28" s="180">
        <f t="shared" ref="C28:C38" si="1">B28/$B$19*100</f>
        <v>3.9356414506074402</v>
      </c>
    </row>
    <row r="29" spans="1:5" ht="20.25" customHeight="1">
      <c r="A29" s="173" t="s">
        <v>278</v>
      </c>
      <c r="B29" s="156">
        <v>83636</v>
      </c>
      <c r="C29" s="180">
        <f t="shared" si="1"/>
        <v>3.6439462461724532</v>
      </c>
    </row>
    <row r="30" spans="1:5" ht="24" customHeight="1">
      <c r="A30" s="173" t="s">
        <v>280</v>
      </c>
      <c r="B30" s="156">
        <v>10670</v>
      </c>
      <c r="C30" s="180">
        <f t="shared" si="1"/>
        <v>0.46488242439451999</v>
      </c>
    </row>
    <row r="31" spans="1:5" ht="22.5" customHeight="1">
      <c r="A31" s="173" t="s">
        <v>272</v>
      </c>
      <c r="B31" s="156">
        <v>10405</v>
      </c>
      <c r="C31" s="180">
        <f t="shared" si="1"/>
        <v>0.45333660973055123</v>
      </c>
    </row>
    <row r="32" spans="1:5" ht="22.5" customHeight="1">
      <c r="A32" s="173" t="s">
        <v>286</v>
      </c>
      <c r="B32" s="156">
        <v>4390</v>
      </c>
      <c r="C32" s="180">
        <f t="shared" si="1"/>
        <v>0.19126840141442764</v>
      </c>
    </row>
    <row r="33" spans="1:10" ht="21.75" customHeight="1">
      <c r="A33" s="173" t="s">
        <v>284</v>
      </c>
      <c r="B33" s="156">
        <v>2465</v>
      </c>
      <c r="C33" s="180">
        <f t="shared" si="1"/>
        <v>0.10739786093088022</v>
      </c>
    </row>
    <row r="34" spans="1:10" ht="24" customHeight="1">
      <c r="A34" s="173" t="s">
        <v>285</v>
      </c>
      <c r="B34" s="156">
        <v>431</v>
      </c>
      <c r="C34" s="180">
        <f t="shared" si="1"/>
        <v>1.8778287245926725E-2</v>
      </c>
    </row>
    <row r="35" spans="1:10" ht="21" customHeight="1">
      <c r="A35" s="173" t="s">
        <v>283</v>
      </c>
      <c r="B35" s="156">
        <v>238</v>
      </c>
      <c r="C35" s="180">
        <f t="shared" si="1"/>
        <v>1.0369448641602228E-2</v>
      </c>
    </row>
    <row r="36" spans="1:10" ht="21.75" customHeight="1">
      <c r="A36" s="173" t="s">
        <v>279</v>
      </c>
      <c r="B36" s="156">
        <v>51</v>
      </c>
      <c r="C36" s="180">
        <f t="shared" si="1"/>
        <v>2.2220247089147632E-3</v>
      </c>
    </row>
    <row r="37" spans="1:10" ht="19.5" customHeight="1">
      <c r="A37" s="173" t="s">
        <v>281</v>
      </c>
      <c r="B37" s="156">
        <v>47</v>
      </c>
      <c r="C37" s="180">
        <f t="shared" si="1"/>
        <v>2.0477482611567428E-3</v>
      </c>
    </row>
    <row r="38" spans="1:10" ht="20.25" customHeight="1">
      <c r="A38" s="173" t="s">
        <v>287</v>
      </c>
      <c r="B38" s="179">
        <v>2</v>
      </c>
      <c r="C38" s="180">
        <f t="shared" si="1"/>
        <v>8.713822387901032E-5</v>
      </c>
    </row>
    <row r="39" spans="1:10" ht="21" customHeight="1">
      <c r="A39" s="173"/>
      <c r="B39" s="156">
        <v>1903070</v>
      </c>
      <c r="C39" s="175"/>
    </row>
    <row r="43" spans="1:10" ht="18">
      <c r="E43" s="169"/>
    </row>
    <row r="44" spans="1:10" ht="20.25">
      <c r="A44" s="582" t="s">
        <v>270</v>
      </c>
      <c r="B44" s="582"/>
      <c r="C44" s="582"/>
      <c r="E44" s="169"/>
      <c r="G44" s="582" t="s">
        <v>271</v>
      </c>
      <c r="H44" s="582"/>
      <c r="I44" s="582"/>
      <c r="J44" s="168"/>
    </row>
    <row r="45" spans="1:10" ht="20.25">
      <c r="E45" s="169"/>
      <c r="J45" s="168"/>
    </row>
    <row r="46" spans="1:10" ht="18">
      <c r="A46" s="182" t="s">
        <v>264</v>
      </c>
      <c r="B46" s="182" t="s">
        <v>265</v>
      </c>
      <c r="C46" s="182" t="s">
        <v>266</v>
      </c>
      <c r="D46" s="185"/>
      <c r="E46" s="169"/>
      <c r="F46" s="185"/>
      <c r="G46" s="193" t="s">
        <v>264</v>
      </c>
      <c r="H46" s="193" t="s">
        <v>265</v>
      </c>
      <c r="I46" s="193" t="s">
        <v>266</v>
      </c>
      <c r="J46" s="186"/>
    </row>
    <row r="47" spans="1:10" ht="18">
      <c r="A47" s="183" t="s">
        <v>289</v>
      </c>
      <c r="B47" s="191">
        <v>799254</v>
      </c>
      <c r="C47" s="184">
        <f>B47/$B$19</f>
        <v>0.34822786994097255</v>
      </c>
      <c r="D47" s="185"/>
      <c r="E47" s="169"/>
      <c r="F47" s="185"/>
      <c r="G47" s="193" t="s">
        <v>289</v>
      </c>
      <c r="H47" s="194">
        <v>586468</v>
      </c>
      <c r="I47" s="195">
        <f>H47/$B$39</f>
        <v>0.30816943149752768</v>
      </c>
      <c r="J47" s="186"/>
    </row>
    <row r="48" spans="1:10" ht="18">
      <c r="A48" s="183" t="s">
        <v>288</v>
      </c>
      <c r="B48" s="191">
        <v>405333</v>
      </c>
      <c r="C48" s="184">
        <f t="shared" ref="C48:C56" si="2">B48/$B$19</f>
        <v>0.17659998849775443</v>
      </c>
      <c r="D48" s="185"/>
      <c r="E48" s="185"/>
      <c r="F48" s="185"/>
      <c r="G48" s="193" t="s">
        <v>288</v>
      </c>
      <c r="H48" s="194">
        <v>393102</v>
      </c>
      <c r="I48" s="195">
        <f t="shared" ref="I48:I56" si="3">H48/$B$39</f>
        <v>0.20656202872201232</v>
      </c>
      <c r="J48" s="186"/>
    </row>
    <row r="49" spans="1:20" ht="18">
      <c r="A49" s="183" t="s">
        <v>603</v>
      </c>
      <c r="B49" s="191">
        <v>158245</v>
      </c>
      <c r="C49" s="184">
        <f t="shared" si="2"/>
        <v>6.8945941188669937E-2</v>
      </c>
      <c r="D49" s="185"/>
      <c r="E49" s="185"/>
      <c r="F49" s="185"/>
      <c r="G49" s="193" t="s">
        <v>603</v>
      </c>
      <c r="H49" s="194">
        <v>157405</v>
      </c>
      <c r="I49" s="195">
        <f t="shared" si="3"/>
        <v>8.2711093128471358E-2</v>
      </c>
      <c r="J49" s="186"/>
    </row>
    <row r="50" spans="1:20" ht="18">
      <c r="A50" s="183" t="s">
        <v>291</v>
      </c>
      <c r="B50" s="191">
        <v>106292</v>
      </c>
      <c r="C50" s="184">
        <f t="shared" si="2"/>
        <v>4.6310480462738828E-2</v>
      </c>
      <c r="D50" s="185"/>
      <c r="E50" s="185"/>
      <c r="F50" s="185"/>
      <c r="G50" s="193" t="s">
        <v>292</v>
      </c>
      <c r="H50" s="194">
        <v>86844</v>
      </c>
      <c r="I50" s="195">
        <f t="shared" si="3"/>
        <v>4.5633634075467534E-2</v>
      </c>
      <c r="J50" s="185"/>
    </row>
    <row r="51" spans="1:20" ht="18">
      <c r="A51" s="183" t="s">
        <v>292</v>
      </c>
      <c r="B51" s="191">
        <v>88034</v>
      </c>
      <c r="C51" s="184">
        <f t="shared" si="2"/>
        <v>3.8355632004823975E-2</v>
      </c>
      <c r="D51" s="185"/>
      <c r="E51" s="185"/>
      <c r="F51" s="185"/>
      <c r="G51" s="193" t="s">
        <v>291</v>
      </c>
      <c r="H51" s="194">
        <v>83636</v>
      </c>
      <c r="I51" s="195">
        <f t="shared" si="3"/>
        <v>4.3947936754822468E-2</v>
      </c>
      <c r="J51" s="185"/>
    </row>
    <row r="52" spans="1:20" ht="18">
      <c r="A52" s="188" t="s">
        <v>604</v>
      </c>
      <c r="B52" s="191">
        <v>70745</v>
      </c>
      <c r="C52" s="184">
        <f t="shared" si="2"/>
        <v>3.0822968241602924E-2</v>
      </c>
      <c r="D52" s="185"/>
      <c r="E52" s="185"/>
      <c r="F52" s="185"/>
      <c r="G52" s="196" t="s">
        <v>604</v>
      </c>
      <c r="H52" s="197">
        <v>68540</v>
      </c>
      <c r="I52" s="195">
        <f t="shared" si="3"/>
        <v>3.6015490759667278E-2</v>
      </c>
      <c r="J52" s="185"/>
    </row>
    <row r="53" spans="1:20" ht="18">
      <c r="A53" s="188" t="s">
        <v>605</v>
      </c>
      <c r="B53" s="190">
        <v>56365</v>
      </c>
      <c r="C53" s="184">
        <f t="shared" si="2"/>
        <v>2.4557729944702084E-2</v>
      </c>
      <c r="D53" s="185"/>
      <c r="E53" s="185"/>
      <c r="F53" s="185"/>
      <c r="G53" s="196" t="s">
        <v>605</v>
      </c>
      <c r="H53" s="197">
        <v>55711</v>
      </c>
      <c r="I53" s="195">
        <f t="shared" si="3"/>
        <v>2.9274277877324534E-2</v>
      </c>
      <c r="J53" s="185"/>
    </row>
    <row r="54" spans="1:20" ht="18">
      <c r="A54" s="188" t="s">
        <v>606</v>
      </c>
      <c r="B54" s="192">
        <v>55443</v>
      </c>
      <c r="C54" s="184">
        <f t="shared" si="2"/>
        <v>2.4156022732619846E-2</v>
      </c>
      <c r="D54" s="185"/>
      <c r="E54" s="185"/>
      <c r="F54" s="185"/>
      <c r="G54" s="196" t="s">
        <v>606</v>
      </c>
      <c r="H54" s="197">
        <v>50515</v>
      </c>
      <c r="I54" s="195">
        <f t="shared" si="3"/>
        <v>2.6543952665955536E-2</v>
      </c>
      <c r="J54" s="185"/>
      <c r="R54" s="90"/>
      <c r="T54" s="88"/>
    </row>
    <row r="55" spans="1:20" ht="18">
      <c r="A55" s="188" t="s">
        <v>607</v>
      </c>
      <c r="B55" s="191">
        <v>55005</v>
      </c>
      <c r="C55" s="184">
        <f t="shared" si="2"/>
        <v>2.3965190022324813E-2</v>
      </c>
      <c r="D55" s="185"/>
      <c r="E55" s="185"/>
      <c r="F55" s="185"/>
      <c r="G55" s="196" t="s">
        <v>290</v>
      </c>
      <c r="H55" s="197">
        <v>46469</v>
      </c>
      <c r="I55" s="195">
        <f t="shared" si="3"/>
        <v>2.4417914212299073E-2</v>
      </c>
      <c r="J55" s="185"/>
      <c r="R55" s="88"/>
      <c r="T55" s="88"/>
    </row>
    <row r="56" spans="1:20" ht="18">
      <c r="A56" s="188" t="s">
        <v>290</v>
      </c>
      <c r="B56" s="192">
        <v>46523</v>
      </c>
      <c r="C56" s="184">
        <f t="shared" si="2"/>
        <v>2.0269657947615986E-2</v>
      </c>
      <c r="D56" s="185"/>
      <c r="E56" s="185"/>
      <c r="F56" s="185"/>
      <c r="G56" s="196" t="s">
        <v>608</v>
      </c>
      <c r="H56" s="197">
        <v>35262</v>
      </c>
      <c r="I56" s="195">
        <f t="shared" si="3"/>
        <v>1.8529008391703929E-2</v>
      </c>
      <c r="J56" s="185"/>
    </row>
    <row r="57" spans="1:20" ht="18">
      <c r="A57" s="185"/>
      <c r="B57" s="185"/>
      <c r="C57" s="187"/>
      <c r="D57" s="185"/>
      <c r="E57" s="185"/>
      <c r="F57" s="185"/>
      <c r="G57" s="185"/>
      <c r="H57" s="185"/>
      <c r="I57" s="185"/>
      <c r="J57" s="185"/>
    </row>
    <row r="58" spans="1:20" ht="18">
      <c r="D58" s="185"/>
      <c r="E58" s="185"/>
      <c r="F58" s="185"/>
      <c r="J58" s="185"/>
    </row>
    <row r="59" spans="1:20" ht="18">
      <c r="D59" s="185"/>
      <c r="E59" s="185"/>
      <c r="F59" s="185"/>
      <c r="J59" s="185"/>
    </row>
    <row r="60" spans="1:20" ht="18">
      <c r="D60" s="185"/>
      <c r="E60" s="185"/>
      <c r="F60" s="185"/>
      <c r="J60" s="185"/>
    </row>
    <row r="61" spans="1:20" ht="18">
      <c r="D61" s="185"/>
      <c r="E61" s="185"/>
      <c r="F61" s="185"/>
      <c r="J61" s="185"/>
    </row>
    <row r="62" spans="1:20" ht="18">
      <c r="D62" s="185"/>
      <c r="E62" s="185"/>
      <c r="F62" s="185"/>
      <c r="J62" s="185"/>
    </row>
    <row r="63" spans="1:20" ht="18">
      <c r="D63" s="185"/>
      <c r="E63" s="185"/>
      <c r="F63" s="185"/>
      <c r="J63" s="185"/>
    </row>
    <row r="64" spans="1:20" ht="18">
      <c r="D64" s="185"/>
      <c r="E64" s="185"/>
      <c r="F64" s="185"/>
      <c r="J64" s="185"/>
    </row>
    <row r="65" spans="1:10">
      <c r="H65" s="18"/>
    </row>
    <row r="67" spans="1:10" ht="18">
      <c r="A67" s="198" t="s">
        <v>267</v>
      </c>
      <c r="B67" s="198" t="s">
        <v>268</v>
      </c>
      <c r="C67" s="199" t="s">
        <v>269</v>
      </c>
      <c r="D67" s="66" t="s">
        <v>52</v>
      </c>
      <c r="G67" s="202" t="s">
        <v>267</v>
      </c>
      <c r="H67" s="202" t="s">
        <v>268</v>
      </c>
      <c r="I67" s="202" t="s">
        <v>269</v>
      </c>
      <c r="J67" s="66" t="s">
        <v>52</v>
      </c>
    </row>
    <row r="68" spans="1:10" ht="18">
      <c r="A68" s="200" t="s">
        <v>289</v>
      </c>
      <c r="B68" s="201">
        <v>799254</v>
      </c>
      <c r="C68" s="199">
        <f>D68/B68</f>
        <v>2.3862752016255158</v>
      </c>
      <c r="D68" s="18">
        <v>1907240</v>
      </c>
      <c r="G68" s="200" t="s">
        <v>289</v>
      </c>
      <c r="H68" s="203">
        <v>586468</v>
      </c>
      <c r="I68" s="205">
        <f>J68/H68</f>
        <v>2.2535296043432891</v>
      </c>
      <c r="J68" s="18">
        <v>1321623</v>
      </c>
    </row>
    <row r="69" spans="1:10" ht="18">
      <c r="A69" s="200" t="s">
        <v>294</v>
      </c>
      <c r="B69" s="201">
        <v>19506</v>
      </c>
      <c r="C69" s="199">
        <f t="shared" ref="C69:C77" si="4">D69/B69</f>
        <v>2.7773505588024197</v>
      </c>
      <c r="D69" s="18">
        <v>54175</v>
      </c>
      <c r="G69" s="200" t="s">
        <v>293</v>
      </c>
      <c r="H69" s="203">
        <v>1675</v>
      </c>
      <c r="I69" s="205">
        <f t="shared" ref="I69:I75" si="5">J69/H69</f>
        <v>2.008955223880597</v>
      </c>
      <c r="J69" s="18">
        <v>3365</v>
      </c>
    </row>
    <row r="70" spans="1:10" ht="18">
      <c r="A70" s="200" t="s">
        <v>293</v>
      </c>
      <c r="B70" s="201">
        <v>1952</v>
      </c>
      <c r="C70" s="199">
        <f t="shared" si="4"/>
        <v>2.1004098360655736</v>
      </c>
      <c r="D70" s="18">
        <v>4100</v>
      </c>
      <c r="G70" s="200" t="s">
        <v>294</v>
      </c>
      <c r="H70" s="203">
        <v>932</v>
      </c>
      <c r="I70" s="205">
        <f t="shared" si="5"/>
        <v>2.32725321888412</v>
      </c>
      <c r="J70" s="18">
        <v>2169</v>
      </c>
    </row>
    <row r="71" spans="1:10" ht="18">
      <c r="A71" s="200" t="s">
        <v>295</v>
      </c>
      <c r="B71" s="198">
        <v>737</v>
      </c>
      <c r="C71" s="199">
        <f t="shared" si="4"/>
        <v>2.5481682496607871</v>
      </c>
      <c r="D71" s="18">
        <v>1878</v>
      </c>
      <c r="G71" s="200" t="s">
        <v>295</v>
      </c>
      <c r="H71" s="202">
        <v>86</v>
      </c>
      <c r="I71" s="205">
        <f t="shared" si="5"/>
        <v>1.6627906976744187</v>
      </c>
      <c r="J71" s="18">
        <v>143</v>
      </c>
    </row>
    <row r="72" spans="1:10" ht="18">
      <c r="A72" s="200" t="s">
        <v>296</v>
      </c>
      <c r="B72" s="198">
        <v>185</v>
      </c>
      <c r="C72" s="199">
        <f t="shared" si="4"/>
        <v>2.0864864864864865</v>
      </c>
      <c r="D72" s="18">
        <v>386</v>
      </c>
      <c r="G72" s="200" t="s">
        <v>296</v>
      </c>
      <c r="H72" s="202">
        <v>76</v>
      </c>
      <c r="I72" s="205">
        <f t="shared" si="5"/>
        <v>1.7894736842105263</v>
      </c>
      <c r="J72" s="18">
        <v>136</v>
      </c>
    </row>
    <row r="73" spans="1:10" ht="18">
      <c r="A73" s="200" t="s">
        <v>298</v>
      </c>
      <c r="B73" s="198">
        <v>33</v>
      </c>
      <c r="C73" s="199">
        <f t="shared" si="4"/>
        <v>1.9090909090909092</v>
      </c>
      <c r="D73" s="18">
        <v>63</v>
      </c>
      <c r="G73" s="200" t="s">
        <v>297</v>
      </c>
      <c r="H73" s="204">
        <v>12</v>
      </c>
      <c r="I73" s="205">
        <f t="shared" si="5"/>
        <v>3.75</v>
      </c>
      <c r="J73" s="18">
        <v>45</v>
      </c>
    </row>
    <row r="74" spans="1:10" ht="18">
      <c r="A74" s="200" t="s">
        <v>297</v>
      </c>
      <c r="B74" s="202">
        <v>15</v>
      </c>
      <c r="C74" s="199">
        <f t="shared" si="4"/>
        <v>3.4</v>
      </c>
      <c r="D74" s="18">
        <v>51</v>
      </c>
      <c r="G74" s="200" t="s">
        <v>298</v>
      </c>
      <c r="H74" s="204">
        <v>8</v>
      </c>
      <c r="I74" s="205">
        <f t="shared" si="5"/>
        <v>2</v>
      </c>
      <c r="J74" s="18">
        <v>16</v>
      </c>
    </row>
    <row r="75" spans="1:10" ht="18">
      <c r="A75" s="200" t="s">
        <v>300</v>
      </c>
      <c r="B75" s="202">
        <v>10</v>
      </c>
      <c r="C75" s="199">
        <f t="shared" si="4"/>
        <v>1</v>
      </c>
      <c r="D75" s="18">
        <v>10</v>
      </c>
      <c r="F75" s="189"/>
      <c r="G75" s="200" t="s">
        <v>299</v>
      </c>
      <c r="H75" s="204">
        <v>2</v>
      </c>
      <c r="I75" s="205">
        <f t="shared" si="5"/>
        <v>1</v>
      </c>
      <c r="J75" s="18">
        <v>2</v>
      </c>
    </row>
    <row r="76" spans="1:10" ht="18">
      <c r="A76" s="200" t="s">
        <v>299</v>
      </c>
      <c r="B76" s="202">
        <v>2</v>
      </c>
      <c r="C76" s="199">
        <f t="shared" si="4"/>
        <v>1</v>
      </c>
      <c r="D76" s="18">
        <v>2</v>
      </c>
      <c r="F76" s="189"/>
      <c r="G76" s="200" t="s">
        <v>301</v>
      </c>
      <c r="H76" s="204">
        <v>2</v>
      </c>
      <c r="I76" s="205">
        <f>J76/H76</f>
        <v>6</v>
      </c>
      <c r="J76" s="18">
        <v>12</v>
      </c>
    </row>
    <row r="77" spans="1:10" ht="18">
      <c r="A77" s="200" t="s">
        <v>301</v>
      </c>
      <c r="B77" s="202">
        <v>2</v>
      </c>
      <c r="C77" s="199">
        <f t="shared" si="4"/>
        <v>6</v>
      </c>
      <c r="D77" s="18">
        <v>12</v>
      </c>
      <c r="F77" s="189"/>
      <c r="G77" s="200" t="s">
        <v>471</v>
      </c>
      <c r="H77" s="204">
        <v>1</v>
      </c>
      <c r="I77" s="205">
        <f>J77/H77</f>
        <v>1</v>
      </c>
      <c r="J77" s="18">
        <v>1</v>
      </c>
    </row>
    <row r="78" spans="1:10" ht="18">
      <c r="C78" s="181"/>
      <c r="D78" s="18"/>
      <c r="F78" s="189"/>
      <c r="H78" s="79"/>
      <c r="I78" s="2"/>
    </row>
    <row r="79" spans="1:10" ht="18">
      <c r="B79" s="1">
        <f>SUM(B68:B73)</f>
        <v>821667</v>
      </c>
      <c r="C79" s="181"/>
      <c r="F79" s="189"/>
      <c r="H79" s="79">
        <f>SUM(H68:H73)</f>
        <v>589249</v>
      </c>
    </row>
  </sheetData>
  <mergeCells count="2">
    <mergeCell ref="G44:I44"/>
    <mergeCell ref="A44:C44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6821-2B45-411F-83D5-8F8EF8BFF2D1}">
  <dimension ref="A1:E51"/>
  <sheetViews>
    <sheetView topLeftCell="A46" workbookViewId="0">
      <selection activeCell="D2" sqref="D2"/>
    </sheetView>
  </sheetViews>
  <sheetFormatPr defaultRowHeight="12.75"/>
  <cols>
    <col min="1" max="1" width="25.5703125" customWidth="1"/>
    <col min="2" max="2" width="15.42578125" customWidth="1"/>
    <col min="3" max="3" width="14.42578125" customWidth="1"/>
    <col min="4" max="4" width="10.42578125" customWidth="1"/>
    <col min="5" max="5" width="11.42578125" customWidth="1"/>
  </cols>
  <sheetData>
    <row r="1" spans="1:5" ht="18">
      <c r="A1" s="468" t="s">
        <v>381</v>
      </c>
      <c r="B1" s="469" t="s">
        <v>382</v>
      </c>
      <c r="C1" s="207" t="s">
        <v>18</v>
      </c>
    </row>
    <row r="2" spans="1:5" ht="15">
      <c r="A2" s="470" t="s">
        <v>383</v>
      </c>
      <c r="B2" s="471">
        <v>1709228</v>
      </c>
      <c r="C2" s="206">
        <f>SUM(B2/D2)</f>
        <v>0.74469546062136527</v>
      </c>
      <c r="D2" s="88">
        <f>'Traffic source'!$B$19</f>
        <v>2295204</v>
      </c>
      <c r="E2" s="88"/>
    </row>
    <row r="3" spans="1:5" ht="15">
      <c r="A3" s="472" t="s">
        <v>384</v>
      </c>
      <c r="B3" s="473">
        <v>196054</v>
      </c>
      <c r="C3" s="206">
        <f t="shared" ref="C3:C8" si="0">SUM(B3/D3)</f>
        <v>8.5418986721877449E-2</v>
      </c>
      <c r="D3" s="88">
        <f>'Traffic source'!$B$19</f>
        <v>2295204</v>
      </c>
      <c r="E3" s="88"/>
    </row>
    <row r="4" spans="1:5" ht="15">
      <c r="A4" s="474" t="s">
        <v>385</v>
      </c>
      <c r="B4" s="475">
        <v>141059</v>
      </c>
      <c r="C4" s="206">
        <f t="shared" si="0"/>
        <v>6.145815361074658E-2</v>
      </c>
      <c r="D4" s="88">
        <f>'Traffic source'!$B$19</f>
        <v>2295204</v>
      </c>
      <c r="E4" s="88"/>
    </row>
    <row r="5" spans="1:5" ht="15">
      <c r="A5" s="476" t="s">
        <v>386</v>
      </c>
      <c r="B5" s="477">
        <v>137720</v>
      </c>
      <c r="C5" s="206">
        <f t="shared" si="0"/>
        <v>6.0003380963086508E-2</v>
      </c>
      <c r="D5" s="88">
        <f>'Traffic source'!$B$19</f>
        <v>2295204</v>
      </c>
      <c r="E5" s="88"/>
    </row>
    <row r="6" spans="1:5" ht="15">
      <c r="A6" s="478" t="s">
        <v>387</v>
      </c>
      <c r="B6" s="479">
        <v>68068</v>
      </c>
      <c r="C6" s="206">
        <f t="shared" si="0"/>
        <v>2.9656623114982371E-2</v>
      </c>
      <c r="D6" s="88">
        <f>'Traffic source'!$B$19</f>
        <v>2295204</v>
      </c>
      <c r="E6" s="88"/>
    </row>
    <row r="7" spans="1:5" ht="15">
      <c r="A7" s="480" t="s">
        <v>388</v>
      </c>
      <c r="B7" s="481">
        <v>34165</v>
      </c>
      <c r="C7" s="206">
        <f t="shared" si="0"/>
        <v>1.4885387094131938E-2</v>
      </c>
      <c r="D7" s="88">
        <f>'Traffic source'!$B$19</f>
        <v>2295204</v>
      </c>
      <c r="E7" s="88"/>
    </row>
    <row r="8" spans="1:5" ht="15">
      <c r="A8" s="482" t="s">
        <v>389</v>
      </c>
      <c r="B8" s="483">
        <v>17110</v>
      </c>
      <c r="C8" s="206">
        <f t="shared" si="0"/>
        <v>7.4546750528493326E-3</v>
      </c>
      <c r="D8" s="88">
        <f>'Traffic source'!$B$19</f>
        <v>2295204</v>
      </c>
      <c r="E8" s="88"/>
    </row>
    <row r="9" spans="1:5" ht="15">
      <c r="A9" s="303" t="s">
        <v>420</v>
      </c>
      <c r="B9" s="304">
        <v>58</v>
      </c>
      <c r="E9" s="88"/>
    </row>
    <row r="30" spans="1:3" ht="18">
      <c r="A30" s="484" t="s">
        <v>390</v>
      </c>
      <c r="B30" s="485" t="s">
        <v>382</v>
      </c>
      <c r="C30" s="207" t="s">
        <v>18</v>
      </c>
    </row>
    <row r="31" spans="1:3" ht="15">
      <c r="A31" s="486" t="s">
        <v>383</v>
      </c>
      <c r="B31" s="487">
        <v>1640292</v>
      </c>
      <c r="C31" s="208">
        <f>SUM(B31/D6)</f>
        <v>0.71466065761474795</v>
      </c>
    </row>
    <row r="32" spans="1:3" ht="15">
      <c r="A32" s="488" t="s">
        <v>391</v>
      </c>
      <c r="B32" s="489">
        <v>552487</v>
      </c>
      <c r="C32" s="208">
        <f>SUM(B32/D7)</f>
        <v>0.24071367948121386</v>
      </c>
    </row>
    <row r="33" spans="1:3" ht="15">
      <c r="A33" s="490" t="s">
        <v>392</v>
      </c>
      <c r="B33" s="491">
        <v>104914</v>
      </c>
      <c r="C33" s="208">
        <f>B33/D3</f>
        <v>4.571009810021244E-2</v>
      </c>
    </row>
    <row r="34" spans="1:3" ht="15">
      <c r="A34" s="305" t="s">
        <v>420</v>
      </c>
      <c r="B34" s="306">
        <v>58</v>
      </c>
    </row>
    <row r="47" spans="1:3" ht="28.5" customHeight="1"/>
    <row r="48" spans="1:3" ht="28.5" customHeight="1"/>
    <row r="49" spans="2:2" ht="28.5" customHeight="1"/>
    <row r="50" spans="2:2" ht="27" customHeight="1"/>
    <row r="51" spans="2:2" ht="15">
      <c r="B51" s="87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:G18"/>
  <sheetViews>
    <sheetView workbookViewId="0">
      <selection activeCell="P40" sqref="P40"/>
    </sheetView>
  </sheetViews>
  <sheetFormatPr defaultRowHeight="12.75"/>
  <cols>
    <col min="1" max="1" width="27.7109375" bestFit="1" customWidth="1"/>
    <col min="2" max="2" width="15.140625" bestFit="1" customWidth="1"/>
    <col min="3" max="3" width="16.140625" bestFit="1" customWidth="1"/>
    <col min="4" max="4" width="16.7109375" bestFit="1" customWidth="1"/>
    <col min="6" max="6" width="16.7109375" bestFit="1" customWidth="1"/>
    <col min="7" max="7" width="10.5703125" bestFit="1" customWidth="1"/>
  </cols>
  <sheetData>
    <row r="1" spans="1:7">
      <c r="A1" s="211"/>
      <c r="B1" s="211" t="s">
        <v>53</v>
      </c>
      <c r="C1" s="171" t="s">
        <v>18</v>
      </c>
      <c r="D1" s="211" t="s">
        <v>82</v>
      </c>
      <c r="G1" s="528" t="s">
        <v>610</v>
      </c>
    </row>
    <row r="2" spans="1:7" ht="15">
      <c r="A2" s="382" t="s">
        <v>302</v>
      </c>
      <c r="B2" s="340">
        <v>1426397</v>
      </c>
      <c r="C2" s="341">
        <f>B2/$G$2</f>
        <v>0.62146850563174338</v>
      </c>
      <c r="D2" s="340">
        <v>970457</v>
      </c>
      <c r="G2" s="2">
        <f>'No of Visitors'!B7</f>
        <v>2295204</v>
      </c>
    </row>
    <row r="3" spans="1:7" ht="15">
      <c r="A3" s="382" t="s">
        <v>304</v>
      </c>
      <c r="B3" s="340">
        <v>481609</v>
      </c>
      <c r="C3" s="341">
        <f t="shared" ref="C3:C12" si="0">B3/$G$2</f>
        <v>0.20983276432073139</v>
      </c>
      <c r="D3" s="340">
        <v>372690</v>
      </c>
      <c r="G3" s="2"/>
    </row>
    <row r="4" spans="1:7" ht="15">
      <c r="A4" s="382" t="s">
        <v>303</v>
      </c>
      <c r="B4" s="340">
        <v>164339</v>
      </c>
      <c r="C4" s="341">
        <f t="shared" si="0"/>
        <v>7.1601042870263379E-2</v>
      </c>
      <c r="D4" s="340">
        <v>156300</v>
      </c>
      <c r="G4" s="2"/>
    </row>
    <row r="5" spans="1:7" ht="15">
      <c r="A5" s="382" t="s">
        <v>305</v>
      </c>
      <c r="B5" s="340">
        <v>95702</v>
      </c>
      <c r="C5" s="341">
        <f t="shared" si="0"/>
        <v>4.1696511508345226E-2</v>
      </c>
      <c r="D5" s="340">
        <v>89409</v>
      </c>
      <c r="G5" s="2"/>
    </row>
    <row r="6" spans="1:7" ht="15">
      <c r="A6" s="382" t="s">
        <v>306</v>
      </c>
      <c r="B6" s="340">
        <v>58191</v>
      </c>
      <c r="C6" s="341">
        <f t="shared" si="0"/>
        <v>2.5353301928717448E-2</v>
      </c>
      <c r="D6" s="340">
        <v>35237</v>
      </c>
      <c r="G6" s="2"/>
    </row>
    <row r="7" spans="1:7" ht="15">
      <c r="A7" s="382" t="s">
        <v>307</v>
      </c>
      <c r="B7" s="340">
        <v>42195</v>
      </c>
      <c r="C7" s="341">
        <f t="shared" si="0"/>
        <v>1.8383986782874201E-2</v>
      </c>
      <c r="D7" s="340">
        <v>25459</v>
      </c>
      <c r="G7" s="2"/>
    </row>
    <row r="8" spans="1:7" ht="15">
      <c r="A8" s="382" t="s">
        <v>308</v>
      </c>
      <c r="B8" s="340">
        <v>18344</v>
      </c>
      <c r="C8" s="341">
        <f t="shared" si="0"/>
        <v>7.9923178941828273E-3</v>
      </c>
      <c r="D8" s="340">
        <v>14006</v>
      </c>
      <c r="G8" s="2"/>
    </row>
    <row r="9" spans="1:7" ht="15">
      <c r="A9" s="382" t="s">
        <v>309</v>
      </c>
      <c r="B9" s="340">
        <v>9124</v>
      </c>
      <c r="C9" s="341">
        <f t="shared" si="0"/>
        <v>3.9752457733604508E-3</v>
      </c>
      <c r="D9" s="340">
        <v>6176</v>
      </c>
      <c r="G9" s="2"/>
    </row>
    <row r="10" spans="1:7" ht="15">
      <c r="A10" s="382" t="s">
        <v>469</v>
      </c>
      <c r="B10" s="326">
        <v>1705</v>
      </c>
      <c r="C10" s="341">
        <f t="shared" si="0"/>
        <v>7.42853358568563E-4</v>
      </c>
      <c r="D10" s="342">
        <v>1707</v>
      </c>
      <c r="F10" s="1"/>
    </row>
    <row r="11" spans="1:7" ht="15">
      <c r="A11" s="173" t="s">
        <v>311</v>
      </c>
      <c r="B11" s="159">
        <v>502</v>
      </c>
      <c r="C11" s="341">
        <f t="shared" si="0"/>
        <v>2.187169419363159E-4</v>
      </c>
      <c r="D11" s="121">
        <v>438</v>
      </c>
      <c r="F11" s="1"/>
    </row>
    <row r="12" spans="1:7" ht="15">
      <c r="A12" s="173" t="s">
        <v>321</v>
      </c>
      <c r="B12" s="159">
        <v>466</v>
      </c>
      <c r="C12" s="341">
        <f t="shared" si="0"/>
        <v>2.0303206163809403E-4</v>
      </c>
      <c r="D12" s="121">
        <v>460</v>
      </c>
      <c r="F12" s="1"/>
    </row>
    <row r="13" spans="1:7" ht="14.25">
      <c r="A13" s="111" t="s">
        <v>320</v>
      </c>
      <c r="B13">
        <v>446</v>
      </c>
      <c r="C13" s="4"/>
      <c r="D13" s="79">
        <v>441</v>
      </c>
      <c r="F13" s="1"/>
    </row>
    <row r="14" spans="1:7" ht="14.25">
      <c r="A14" s="111" t="s">
        <v>599</v>
      </c>
      <c r="B14">
        <v>296</v>
      </c>
      <c r="C14" s="4"/>
      <c r="D14" s="79">
        <v>296</v>
      </c>
      <c r="F14" s="1"/>
    </row>
    <row r="15" spans="1:7" ht="14.25">
      <c r="A15" s="111" t="s">
        <v>310</v>
      </c>
      <c r="B15">
        <v>230</v>
      </c>
      <c r="C15" s="4"/>
      <c r="D15" s="79">
        <v>228</v>
      </c>
      <c r="F15" s="1"/>
    </row>
    <row r="16" spans="1:7" ht="14.25">
      <c r="A16" s="210" t="s">
        <v>422</v>
      </c>
      <c r="B16" s="209">
        <v>219</v>
      </c>
      <c r="C16" s="4"/>
      <c r="D16" s="79">
        <v>218</v>
      </c>
      <c r="F16" s="1"/>
    </row>
    <row r="17" spans="4:6" ht="14.25">
      <c r="D17" s="79"/>
      <c r="F17" s="1"/>
    </row>
    <row r="18" spans="4:6">
      <c r="D18" s="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workbookViewId="0">
      <selection activeCell="F17" sqref="F17"/>
    </sheetView>
  </sheetViews>
  <sheetFormatPr defaultRowHeight="12.75"/>
  <cols>
    <col min="1" max="1" width="17.85546875" customWidth="1"/>
    <col min="2" max="2" width="13" style="160" customWidth="1"/>
    <col min="3" max="3" width="10.7109375" style="213" bestFit="1" customWidth="1"/>
    <col min="4" max="4" width="16.7109375" style="160" bestFit="1" customWidth="1"/>
    <col min="5" max="5" width="16.28515625" customWidth="1"/>
    <col min="6" max="6" width="11.85546875" bestFit="1" customWidth="1"/>
  </cols>
  <sheetData>
    <row r="1" spans="1:7" ht="15.75">
      <c r="A1" s="343"/>
      <c r="B1" s="344" t="s">
        <v>53</v>
      </c>
      <c r="C1" s="345" t="s">
        <v>18</v>
      </c>
      <c r="D1" s="344" t="s">
        <v>82</v>
      </c>
      <c r="F1" s="529" t="s">
        <v>610</v>
      </c>
    </row>
    <row r="2" spans="1:7" ht="15">
      <c r="A2" s="324" t="s">
        <v>312</v>
      </c>
      <c r="B2" s="327">
        <v>1301007</v>
      </c>
      <c r="C2" s="341">
        <f>B2/$F$2</f>
        <v>0.56683719617079786</v>
      </c>
      <c r="D2" s="327">
        <v>929620</v>
      </c>
      <c r="F2" s="163">
        <f>'Traffic source'!B19</f>
        <v>2295204</v>
      </c>
    </row>
    <row r="3" spans="1:7" ht="15">
      <c r="A3" s="324" t="s">
        <v>313</v>
      </c>
      <c r="B3" s="327">
        <v>632070</v>
      </c>
      <c r="C3" s="341">
        <f t="shared" ref="C3:C12" si="0">B3/$F$2</f>
        <v>0.27538728583603028</v>
      </c>
      <c r="D3" s="327">
        <v>516434</v>
      </c>
    </row>
    <row r="4" spans="1:7" ht="15">
      <c r="A4" s="324" t="s">
        <v>314</v>
      </c>
      <c r="B4" s="327">
        <v>249111</v>
      </c>
      <c r="C4" s="341">
        <f t="shared" si="0"/>
        <v>0.1085354504436207</v>
      </c>
      <c r="D4" s="327">
        <v>159603</v>
      </c>
    </row>
    <row r="5" spans="1:7" ht="15">
      <c r="A5" s="324" t="s">
        <v>315</v>
      </c>
      <c r="B5" s="327">
        <v>81448</v>
      </c>
      <c r="C5" s="341">
        <f t="shared" si="0"/>
        <v>3.5486170292488163E-2</v>
      </c>
      <c r="D5" s="327">
        <v>46980</v>
      </c>
    </row>
    <row r="6" spans="1:7" ht="15">
      <c r="A6" s="324" t="s">
        <v>316</v>
      </c>
      <c r="B6" s="327">
        <v>29927</v>
      </c>
      <c r="C6" s="341">
        <f t="shared" si="0"/>
        <v>1.3038928130135709E-2</v>
      </c>
      <c r="D6" s="327">
        <v>19410</v>
      </c>
    </row>
    <row r="7" spans="1:7" ht="15">
      <c r="A7" s="324" t="s">
        <v>317</v>
      </c>
      <c r="B7" s="327">
        <v>1566</v>
      </c>
      <c r="C7" s="341">
        <f t="shared" si="0"/>
        <v>6.8229229297265084E-4</v>
      </c>
      <c r="D7" s="327">
        <v>1239</v>
      </c>
    </row>
    <row r="8" spans="1:7" ht="15">
      <c r="A8" s="324" t="s">
        <v>310</v>
      </c>
      <c r="B8" s="327">
        <v>171</v>
      </c>
      <c r="C8" s="341">
        <f t="shared" si="0"/>
        <v>7.4503181416553819E-5</v>
      </c>
      <c r="D8" s="327">
        <v>169</v>
      </c>
    </row>
    <row r="9" spans="1:7" ht="15">
      <c r="A9" s="324" t="s">
        <v>470</v>
      </c>
      <c r="B9" s="327">
        <v>150</v>
      </c>
      <c r="C9" s="341">
        <f t="shared" si="0"/>
        <v>6.5353667909257736E-5</v>
      </c>
      <c r="D9" s="327">
        <v>150</v>
      </c>
    </row>
    <row r="10" spans="1:7" ht="15">
      <c r="A10" s="324" t="s">
        <v>318</v>
      </c>
      <c r="B10" s="327">
        <v>67</v>
      </c>
      <c r="C10" s="341">
        <f t="shared" si="0"/>
        <v>2.9191304999468456E-5</v>
      </c>
      <c r="D10" s="327">
        <v>44</v>
      </c>
    </row>
    <row r="11" spans="1:7" ht="15">
      <c r="A11" s="324" t="s">
        <v>449</v>
      </c>
      <c r="B11" s="327">
        <v>2</v>
      </c>
      <c r="C11" s="341">
        <f t="shared" si="0"/>
        <v>8.713822387901032E-7</v>
      </c>
      <c r="D11" s="327">
        <v>2</v>
      </c>
    </row>
    <row r="12" spans="1:7" ht="15">
      <c r="A12" s="324" t="s">
        <v>600</v>
      </c>
      <c r="B12" s="327">
        <v>2</v>
      </c>
      <c r="C12" s="341">
        <f t="shared" si="0"/>
        <v>8.713822387901032E-7</v>
      </c>
      <c r="D12" s="327">
        <v>2</v>
      </c>
      <c r="E12" s="2"/>
      <c r="G12" s="4"/>
    </row>
    <row r="13" spans="1:7" ht="15">
      <c r="A13" s="333" t="s">
        <v>319</v>
      </c>
      <c r="B13" s="346">
        <v>2</v>
      </c>
      <c r="C13" s="347"/>
      <c r="D13" s="346">
        <v>2</v>
      </c>
      <c r="E13" s="2"/>
      <c r="G13" s="4"/>
    </row>
    <row r="14" spans="1:7" ht="15">
      <c r="A14" s="333" t="s">
        <v>601</v>
      </c>
      <c r="B14" s="346">
        <v>1</v>
      </c>
      <c r="C14" s="347"/>
      <c r="D14" s="346">
        <v>1</v>
      </c>
      <c r="E14" s="2"/>
      <c r="G14" s="4"/>
    </row>
    <row r="15" spans="1:7">
      <c r="A15" t="s">
        <v>602</v>
      </c>
      <c r="B15" s="160">
        <v>1</v>
      </c>
      <c r="D15" s="160">
        <v>1</v>
      </c>
      <c r="E15" s="2"/>
      <c r="G15" s="4"/>
    </row>
    <row r="16" spans="1:7">
      <c r="A16" s="213"/>
      <c r="C16" s="2"/>
      <c r="D16"/>
      <c r="E16" s="4"/>
    </row>
    <row r="17" spans="4:7">
      <c r="E17" s="2"/>
      <c r="G17" s="4"/>
    </row>
    <row r="18" spans="4:7">
      <c r="E18" s="2"/>
      <c r="G18" s="4"/>
    </row>
    <row r="19" spans="4:7">
      <c r="E19" s="2"/>
      <c r="G19" s="4"/>
    </row>
    <row r="20" spans="4:7">
      <c r="E20" s="2"/>
      <c r="G20" s="4"/>
    </row>
    <row r="21" spans="4:7">
      <c r="E21" s="2"/>
      <c r="G21" s="4"/>
    </row>
    <row r="22" spans="4:7" ht="14.25">
      <c r="D22" s="212"/>
      <c r="F22" s="20"/>
    </row>
    <row r="23" spans="4:7" ht="14.25">
      <c r="D23" s="212"/>
    </row>
    <row r="24" spans="4:7" ht="14.25">
      <c r="D24" s="212"/>
    </row>
    <row r="25" spans="4:7" ht="14.25">
      <c r="D25" s="212"/>
    </row>
    <row r="26" spans="4:7" ht="14.25">
      <c r="D26" s="212"/>
    </row>
    <row r="27" spans="4:7" ht="14.25">
      <c r="D27" s="212"/>
    </row>
    <row r="28" spans="4:7" ht="14.25">
      <c r="D28" s="212"/>
    </row>
    <row r="29" spans="4:7" ht="14.25">
      <c r="D29" s="212"/>
    </row>
    <row r="30" spans="4:7" ht="14.25">
      <c r="D30" s="212"/>
    </row>
    <row r="31" spans="4:7" ht="14.25">
      <c r="D31" s="2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D9FF-E2A9-485C-B6CF-29901A002CCF}">
  <dimension ref="A1:H35"/>
  <sheetViews>
    <sheetView topLeftCell="A16" workbookViewId="0">
      <selection activeCell="F19" sqref="F19"/>
    </sheetView>
  </sheetViews>
  <sheetFormatPr defaultRowHeight="18"/>
  <cols>
    <col min="1" max="1" width="52.28515625" style="218" customWidth="1"/>
    <col min="2" max="2" width="23.5703125" style="256" customWidth="1"/>
    <col min="3" max="3" width="24.140625" style="218" customWidth="1"/>
    <col min="4" max="4" width="23.5703125" style="256" customWidth="1"/>
    <col min="5" max="5" width="19.7109375" style="218" customWidth="1"/>
    <col min="6" max="6" width="9.140625" style="251"/>
    <col min="7" max="16384" width="9.140625" style="218"/>
  </cols>
  <sheetData>
    <row r="1" spans="1:8">
      <c r="A1" s="246" t="s">
        <v>322</v>
      </c>
      <c r="B1" s="249" t="s">
        <v>265</v>
      </c>
      <c r="C1" s="246" t="s">
        <v>323</v>
      </c>
      <c r="D1" s="249" t="s">
        <v>156</v>
      </c>
    </row>
    <row r="2" spans="1:8">
      <c r="A2" s="247" t="s">
        <v>444</v>
      </c>
      <c r="B2" s="250">
        <v>339804</v>
      </c>
      <c r="C2" s="248">
        <v>1.305152381961366</v>
      </c>
      <c r="D2" s="250">
        <v>443496</v>
      </c>
      <c r="E2" s="186"/>
    </row>
    <row r="3" spans="1:8">
      <c r="A3" s="247" t="s">
        <v>395</v>
      </c>
      <c r="B3" s="250">
        <v>315407</v>
      </c>
      <c r="C3" s="248">
        <v>1.4191504944405164</v>
      </c>
      <c r="D3" s="250">
        <v>447610</v>
      </c>
      <c r="E3" s="186"/>
    </row>
    <row r="4" spans="1:8">
      <c r="A4" s="247" t="s">
        <v>56</v>
      </c>
      <c r="B4" s="250">
        <v>304923</v>
      </c>
      <c r="C4" s="248">
        <v>3.3800106912236858</v>
      </c>
      <c r="D4" s="250">
        <v>1030643</v>
      </c>
      <c r="E4" s="186"/>
    </row>
    <row r="5" spans="1:8">
      <c r="A5" s="247" t="s">
        <v>393</v>
      </c>
      <c r="B5" s="250">
        <v>219055</v>
      </c>
      <c r="C5" s="248">
        <v>1.2568533016822259</v>
      </c>
      <c r="D5" s="250">
        <v>275320</v>
      </c>
      <c r="E5" s="186"/>
    </row>
    <row r="6" spans="1:8">
      <c r="A6" s="247" t="s">
        <v>443</v>
      </c>
      <c r="B6" s="250">
        <v>193863</v>
      </c>
      <c r="C6" s="248">
        <v>1.2266239560927046</v>
      </c>
      <c r="D6" s="250">
        <v>237797</v>
      </c>
      <c r="E6" s="186"/>
    </row>
    <row r="7" spans="1:8" ht="18.75">
      <c r="A7" s="247" t="s">
        <v>124</v>
      </c>
      <c r="B7" s="250">
        <v>98202</v>
      </c>
      <c r="C7" s="248">
        <v>1.790686544062239</v>
      </c>
      <c r="D7" s="250">
        <v>175849</v>
      </c>
      <c r="E7" s="252" t="s">
        <v>324</v>
      </c>
      <c r="G7" s="253"/>
      <c r="H7" s="253"/>
    </row>
    <row r="8" spans="1:8" ht="18.75">
      <c r="A8" s="247" t="s">
        <v>394</v>
      </c>
      <c r="B8" s="250">
        <v>67267</v>
      </c>
      <c r="C8" s="248">
        <v>1.4307758633505285</v>
      </c>
      <c r="D8" s="250">
        <v>96244</v>
      </c>
      <c r="E8" s="186"/>
      <c r="F8" s="253"/>
      <c r="G8" s="253"/>
      <c r="H8" s="253"/>
    </row>
    <row r="9" spans="1:8">
      <c r="A9" s="247" t="s">
        <v>226</v>
      </c>
      <c r="B9" s="250">
        <v>65507</v>
      </c>
      <c r="C9" s="248">
        <v>1.2797258308272399</v>
      </c>
      <c r="D9" s="250">
        <v>83831</v>
      </c>
      <c r="E9" s="186"/>
    </row>
    <row r="10" spans="1:8">
      <c r="A10" s="247" t="s">
        <v>456</v>
      </c>
      <c r="B10" s="250">
        <v>64809</v>
      </c>
      <c r="C10" s="248">
        <v>1.1509203968584609</v>
      </c>
      <c r="D10" s="250">
        <v>74590</v>
      </c>
      <c r="E10" s="186"/>
    </row>
    <row r="11" spans="1:8">
      <c r="A11" s="247" t="s">
        <v>445</v>
      </c>
      <c r="B11" s="250">
        <v>64051</v>
      </c>
      <c r="C11" s="248">
        <v>1.0940344413045855</v>
      </c>
      <c r="D11" s="250">
        <v>70074</v>
      </c>
      <c r="E11" s="186"/>
    </row>
    <row r="12" spans="1:8">
      <c r="A12" s="247" t="s">
        <v>397</v>
      </c>
      <c r="B12" s="250">
        <v>63762</v>
      </c>
      <c r="C12" s="248">
        <v>2.3007747561243375</v>
      </c>
      <c r="D12" s="250">
        <v>146702</v>
      </c>
      <c r="E12" s="186"/>
    </row>
    <row r="13" spans="1:8">
      <c r="A13" s="247" t="s">
        <v>310</v>
      </c>
      <c r="B13" s="250">
        <v>53505</v>
      </c>
      <c r="C13" s="248">
        <v>7.475936828333801E-5</v>
      </c>
      <c r="D13" s="250">
        <v>4</v>
      </c>
      <c r="E13" s="186"/>
    </row>
    <row r="14" spans="1:8">
      <c r="A14" s="186" t="s">
        <v>396</v>
      </c>
      <c r="B14" s="254">
        <v>50049</v>
      </c>
      <c r="C14" s="258">
        <v>1.8337429319267118</v>
      </c>
      <c r="D14" s="255">
        <v>91777</v>
      </c>
      <c r="E14" s="186"/>
    </row>
    <row r="15" spans="1:8">
      <c r="A15" s="218" t="s">
        <v>455</v>
      </c>
      <c r="B15" s="256">
        <v>39414</v>
      </c>
      <c r="C15" s="258">
        <v>1.880093367838839</v>
      </c>
      <c r="D15" s="255">
        <v>74102</v>
      </c>
      <c r="E15" s="186"/>
    </row>
    <row r="16" spans="1:8">
      <c r="A16" s="218" t="s">
        <v>457</v>
      </c>
      <c r="B16" s="256">
        <v>30203</v>
      </c>
      <c r="C16" s="258">
        <v>2.2521934907128429</v>
      </c>
      <c r="D16" s="256">
        <v>68023</v>
      </c>
    </row>
    <row r="17" spans="1:5">
      <c r="C17" s="258"/>
    </row>
    <row r="18" spans="1:5">
      <c r="A18" s="200"/>
      <c r="B18" s="257"/>
      <c r="C18" s="248"/>
      <c r="D18" s="257"/>
    </row>
    <row r="19" spans="1:5">
      <c r="A19" s="200"/>
      <c r="B19" s="257"/>
      <c r="C19" s="248"/>
      <c r="D19" s="257"/>
    </row>
    <row r="20" spans="1:5">
      <c r="A20" s="200" t="s">
        <v>393</v>
      </c>
      <c r="B20" s="257">
        <v>393139</v>
      </c>
      <c r="C20" s="248">
        <v>1.2029918171435547</v>
      </c>
      <c r="D20" s="257">
        <v>472943</v>
      </c>
    </row>
    <row r="21" spans="1:5">
      <c r="A21" s="200" t="s">
        <v>395</v>
      </c>
      <c r="B21" s="257">
        <v>279009</v>
      </c>
      <c r="C21" s="248">
        <v>1.3783247135397065</v>
      </c>
      <c r="D21" s="257">
        <v>384565</v>
      </c>
    </row>
    <row r="22" spans="1:5">
      <c r="A22" s="200" t="s">
        <v>444</v>
      </c>
      <c r="B22" s="257">
        <v>275241</v>
      </c>
      <c r="C22" s="248">
        <v>1.2569820629920687</v>
      </c>
      <c r="D22" s="257">
        <v>345973</v>
      </c>
    </row>
    <row r="23" spans="1:5" ht="18.75">
      <c r="A23" s="200" t="s">
        <v>56</v>
      </c>
      <c r="B23" s="257">
        <v>218232</v>
      </c>
      <c r="C23" s="248">
        <v>3.094152095018146</v>
      </c>
      <c r="D23" s="257">
        <v>675243</v>
      </c>
      <c r="E23" s="252" t="s">
        <v>325</v>
      </c>
    </row>
    <row r="24" spans="1:5">
      <c r="A24" s="200" t="s">
        <v>393</v>
      </c>
      <c r="B24" s="257">
        <v>205935</v>
      </c>
      <c r="C24" s="248">
        <v>1.2573190569839998</v>
      </c>
      <c r="D24" s="257">
        <v>258926</v>
      </c>
    </row>
    <row r="25" spans="1:5">
      <c r="A25" s="200" t="s">
        <v>443</v>
      </c>
      <c r="B25" s="257">
        <v>189121</v>
      </c>
      <c r="C25" s="248">
        <v>1.2160468694645228</v>
      </c>
      <c r="D25" s="257">
        <v>229980</v>
      </c>
    </row>
    <row r="26" spans="1:5">
      <c r="A26" s="200" t="s">
        <v>124</v>
      </c>
      <c r="B26" s="257">
        <v>87553</v>
      </c>
      <c r="C26" s="248">
        <v>1.6849222756501776</v>
      </c>
      <c r="D26" s="257">
        <v>147520</v>
      </c>
    </row>
    <row r="27" spans="1:5">
      <c r="A27" s="200" t="s">
        <v>226</v>
      </c>
      <c r="B27" s="257">
        <v>64747</v>
      </c>
      <c r="C27" s="248">
        <v>1.2722751633280307</v>
      </c>
      <c r="D27" s="257">
        <v>82376</v>
      </c>
    </row>
    <row r="28" spans="1:5">
      <c r="A28" s="200" t="s">
        <v>445</v>
      </c>
      <c r="B28" s="257">
        <v>63800</v>
      </c>
      <c r="C28" s="248">
        <v>1.0896394984326019</v>
      </c>
      <c r="D28" s="257">
        <v>69519</v>
      </c>
    </row>
    <row r="29" spans="1:5">
      <c r="A29" s="200" t="s">
        <v>456</v>
      </c>
      <c r="B29" s="257">
        <v>63349</v>
      </c>
      <c r="C29" s="248">
        <v>1.138644651060001</v>
      </c>
      <c r="D29" s="257">
        <v>72132</v>
      </c>
    </row>
    <row r="30" spans="1:5">
      <c r="A30" s="200" t="s">
        <v>394</v>
      </c>
      <c r="B30" s="257">
        <v>58060</v>
      </c>
      <c r="C30" s="248">
        <v>1.3537030657940061</v>
      </c>
      <c r="D30" s="257">
        <v>78596</v>
      </c>
    </row>
    <row r="31" spans="1:5">
      <c r="A31" s="200" t="s">
        <v>397</v>
      </c>
      <c r="B31" s="257">
        <v>46107</v>
      </c>
      <c r="C31" s="248">
        <v>2.0041425380094129</v>
      </c>
      <c r="D31" s="257">
        <v>92405</v>
      </c>
    </row>
    <row r="32" spans="1:5">
      <c r="A32" s="218" t="s">
        <v>396</v>
      </c>
      <c r="B32" s="256">
        <v>39789</v>
      </c>
      <c r="C32" s="218">
        <v>1.7398024579657694</v>
      </c>
      <c r="D32" s="256">
        <v>69225</v>
      </c>
    </row>
    <row r="33" spans="1:4">
      <c r="A33" s="218" t="s">
        <v>455</v>
      </c>
      <c r="B33" s="256">
        <v>33862</v>
      </c>
      <c r="C33" s="218">
        <v>1.7981217884354144</v>
      </c>
      <c r="D33" s="256">
        <v>60888</v>
      </c>
    </row>
    <row r="34" spans="1:4">
      <c r="A34" s="218" t="s">
        <v>310</v>
      </c>
      <c r="B34" s="256">
        <v>22950</v>
      </c>
      <c r="C34" s="218">
        <v>8.714596949891067E-5</v>
      </c>
      <c r="D34" s="256">
        <v>2</v>
      </c>
    </row>
    <row r="35" spans="1:4">
      <c r="A35" s="218" t="s">
        <v>505</v>
      </c>
      <c r="B35" s="256">
        <v>22528</v>
      </c>
      <c r="C35" s="218">
        <v>1.5021750710227273</v>
      </c>
      <c r="D35" s="256">
        <v>33841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CA0D-C090-40D0-8CE0-31F631AC0379}">
  <dimension ref="A1:S74"/>
  <sheetViews>
    <sheetView topLeftCell="A43" zoomScale="115" zoomScaleNormal="115" workbookViewId="0">
      <selection activeCell="L37" sqref="L37"/>
    </sheetView>
  </sheetViews>
  <sheetFormatPr defaultRowHeight="12.75"/>
  <cols>
    <col min="1" max="1" width="8.28515625" bestFit="1" customWidth="1"/>
    <col min="2" max="2" width="26.7109375" customWidth="1"/>
    <col min="3" max="3" width="15" style="18" customWidth="1"/>
    <col min="4" max="4" width="17.5703125" customWidth="1"/>
    <col min="5" max="5" width="18.28515625" customWidth="1"/>
    <col min="6" max="6" width="19.140625" customWidth="1"/>
    <col min="7" max="7" width="20" customWidth="1"/>
    <col min="8" max="8" width="17.42578125" customWidth="1"/>
    <col min="9" max="9" width="24.140625" style="163" customWidth="1"/>
  </cols>
  <sheetData>
    <row r="1" spans="1:14" ht="43.5" customHeight="1" thickBot="1">
      <c r="A1" s="278" t="s">
        <v>187</v>
      </c>
      <c r="B1" s="278" t="s">
        <v>188</v>
      </c>
      <c r="C1" s="278" t="s">
        <v>189</v>
      </c>
      <c r="D1" s="278" t="s">
        <v>190</v>
      </c>
      <c r="E1" s="278" t="s">
        <v>191</v>
      </c>
      <c r="F1" s="278" t="s">
        <v>192</v>
      </c>
      <c r="G1" s="278" t="s">
        <v>326</v>
      </c>
      <c r="H1" s="278" t="s">
        <v>194</v>
      </c>
      <c r="I1" s="297" t="s">
        <v>327</v>
      </c>
    </row>
    <row r="2" spans="1:14" ht="21" customHeight="1" thickTop="1" thickBot="1">
      <c r="A2" s="259">
        <v>1</v>
      </c>
      <c r="B2" s="279" t="s">
        <v>328</v>
      </c>
      <c r="C2" s="260">
        <v>6.15</v>
      </c>
      <c r="D2" s="261">
        <v>0.55069999999999997</v>
      </c>
      <c r="E2" s="262">
        <v>1.6319444444444445E-3</v>
      </c>
      <c r="F2" s="263">
        <f>'Site - Month Graph'!D35</f>
        <v>3953609</v>
      </c>
      <c r="G2" s="264">
        <f>F2/330</f>
        <v>11980.633333333333</v>
      </c>
      <c r="H2" s="263">
        <v>1772011</v>
      </c>
      <c r="I2" s="298">
        <f>H2/31</f>
        <v>57161.645161290326</v>
      </c>
    </row>
    <row r="3" spans="1:14" ht="22.5" customHeight="1" thickBot="1">
      <c r="A3" s="265">
        <v>2</v>
      </c>
      <c r="B3" s="275" t="s">
        <v>329</v>
      </c>
      <c r="C3" s="266">
        <v>6.2</v>
      </c>
      <c r="D3" s="267">
        <v>0.15939009014039801</v>
      </c>
      <c r="E3" s="268" t="s">
        <v>528</v>
      </c>
      <c r="F3" s="269">
        <v>431338</v>
      </c>
      <c r="G3" s="269">
        <v>13914.129032258064</v>
      </c>
      <c r="H3" s="269">
        <v>264713</v>
      </c>
      <c r="I3" s="296">
        <v>8539.1290322580644</v>
      </c>
      <c r="J3" t="s">
        <v>56</v>
      </c>
    </row>
    <row r="4" spans="1:14" ht="22.5" customHeight="1" thickBot="1">
      <c r="A4" s="270">
        <v>3</v>
      </c>
      <c r="B4" s="277" t="s">
        <v>330</v>
      </c>
      <c r="C4" s="271">
        <v>6.45</v>
      </c>
      <c r="D4" s="272">
        <v>0.5</v>
      </c>
      <c r="E4" s="273" t="s">
        <v>529</v>
      </c>
      <c r="F4" s="281">
        <v>12</v>
      </c>
      <c r="G4" s="281">
        <v>0.38709677419354838</v>
      </c>
      <c r="H4" s="281">
        <v>8</v>
      </c>
      <c r="I4" s="281">
        <v>0.25806451612903225</v>
      </c>
      <c r="J4" t="s">
        <v>512</v>
      </c>
    </row>
    <row r="5" spans="1:14" ht="26.25" customHeight="1" thickBot="1">
      <c r="A5" s="265">
        <v>3.1</v>
      </c>
      <c r="B5" s="275" t="s">
        <v>331</v>
      </c>
      <c r="C5" s="383">
        <v>5.4</v>
      </c>
      <c r="D5" s="394">
        <v>0.70074483798987997</v>
      </c>
      <c r="E5" s="395">
        <v>6.9444444444444447E-4</v>
      </c>
      <c r="F5" s="396">
        <v>374831</v>
      </c>
      <c r="G5" s="396">
        <v>12494.366666666667</v>
      </c>
      <c r="H5" s="396">
        <v>235224</v>
      </c>
      <c r="I5" s="397">
        <v>7840.8</v>
      </c>
      <c r="J5" s="384"/>
    </row>
    <row r="6" spans="1:14" ht="24" customHeight="1" thickBot="1">
      <c r="A6" s="270">
        <v>3.2</v>
      </c>
      <c r="B6" s="277" t="s">
        <v>332</v>
      </c>
      <c r="C6" s="398">
        <v>5.9</v>
      </c>
      <c r="D6" s="399">
        <v>0</v>
      </c>
      <c r="E6" s="400" t="s">
        <v>530</v>
      </c>
      <c r="F6" s="401">
        <v>2</v>
      </c>
      <c r="G6" s="401">
        <v>6.4516129032258063E-2</v>
      </c>
      <c r="H6" s="401">
        <v>1</v>
      </c>
      <c r="I6" s="402">
        <v>3.2258064516129031E-2</v>
      </c>
      <c r="J6" t="s">
        <v>513</v>
      </c>
    </row>
    <row r="7" spans="1:14" ht="21" customHeight="1" thickBot="1">
      <c r="A7" s="265">
        <v>3.3</v>
      </c>
      <c r="B7" s="275" t="s">
        <v>333</v>
      </c>
      <c r="C7" s="266">
        <v>5.3</v>
      </c>
      <c r="D7" s="394">
        <v>0.7</v>
      </c>
      <c r="E7" s="395" t="s">
        <v>531</v>
      </c>
      <c r="F7" s="396">
        <v>12</v>
      </c>
      <c r="G7" s="396">
        <v>0.38709677419354838</v>
      </c>
      <c r="H7" s="396">
        <v>2</v>
      </c>
      <c r="I7" s="397">
        <v>6.4516129032258063E-2</v>
      </c>
      <c r="J7" t="s">
        <v>514</v>
      </c>
    </row>
    <row r="8" spans="1:14" ht="21" customHeight="1" thickBot="1">
      <c r="A8" s="270">
        <v>3.4</v>
      </c>
      <c r="B8" s="277" t="s">
        <v>334</v>
      </c>
      <c r="C8" s="271">
        <v>4.5</v>
      </c>
      <c r="D8" s="403">
        <v>0</v>
      </c>
      <c r="E8" s="404" t="s">
        <v>532</v>
      </c>
      <c r="F8" s="405">
        <v>2</v>
      </c>
      <c r="G8" s="405">
        <v>6.4516129032258063E-2</v>
      </c>
      <c r="H8" s="405">
        <v>1</v>
      </c>
      <c r="I8" s="406">
        <v>3.2258064516129031E-2</v>
      </c>
      <c r="J8" t="s">
        <v>515</v>
      </c>
    </row>
    <row r="9" spans="1:14" ht="22.5" customHeight="1" thickBot="1">
      <c r="A9" s="265">
        <v>3.5</v>
      </c>
      <c r="B9" s="275" t="s">
        <v>335</v>
      </c>
      <c r="C9" s="266">
        <v>8.6</v>
      </c>
      <c r="D9" s="394">
        <v>0.68595902144863974</v>
      </c>
      <c r="E9" s="395" t="s">
        <v>533</v>
      </c>
      <c r="F9" s="396">
        <v>435656</v>
      </c>
      <c r="G9" s="396">
        <v>14053.41935483871</v>
      </c>
      <c r="H9" s="396">
        <v>335662</v>
      </c>
      <c r="I9" s="397">
        <v>10827.806451612903</v>
      </c>
      <c r="J9" t="s">
        <v>81</v>
      </c>
    </row>
    <row r="10" spans="1:14" ht="21" customHeight="1" thickBot="1">
      <c r="A10" s="270">
        <v>3.6</v>
      </c>
      <c r="B10" s="277" t="s">
        <v>336</v>
      </c>
      <c r="C10" s="271">
        <v>7</v>
      </c>
      <c r="D10" s="399">
        <v>0.36042436229312702</v>
      </c>
      <c r="E10" s="400" t="s">
        <v>534</v>
      </c>
      <c r="F10" s="401">
        <v>169366</v>
      </c>
      <c r="G10" s="401">
        <v>5463.4193548387093</v>
      </c>
      <c r="H10" s="401">
        <v>116190</v>
      </c>
      <c r="I10" s="402">
        <v>3748.0645161290322</v>
      </c>
      <c r="J10" t="s">
        <v>124</v>
      </c>
    </row>
    <row r="11" spans="1:14" ht="21" customHeight="1" thickBot="1">
      <c r="A11" s="265">
        <v>3.7</v>
      </c>
      <c r="B11" s="275" t="s">
        <v>343</v>
      </c>
      <c r="C11" s="266">
        <v>7.7</v>
      </c>
      <c r="D11" s="394">
        <v>0.14707774948941052</v>
      </c>
      <c r="E11" s="395" t="s">
        <v>535</v>
      </c>
      <c r="F11" s="396">
        <v>42240</v>
      </c>
      <c r="G11" s="396">
        <v>1362.5806451612902</v>
      </c>
      <c r="H11" s="396">
        <v>31607</v>
      </c>
      <c r="I11" s="397">
        <v>1019.5806451612904</v>
      </c>
      <c r="J11" s="161" t="s">
        <v>238</v>
      </c>
    </row>
    <row r="12" spans="1:14" ht="21" customHeight="1" thickBot="1">
      <c r="A12" s="270">
        <v>3.8</v>
      </c>
      <c r="B12" s="277" t="s">
        <v>337</v>
      </c>
      <c r="C12" s="271">
        <v>5</v>
      </c>
      <c r="D12" s="407">
        <v>0.41689143796813427</v>
      </c>
      <c r="E12" s="408" t="s">
        <v>536</v>
      </c>
      <c r="F12" s="409">
        <v>116117</v>
      </c>
      <c r="G12" s="409">
        <v>3745.7096774193546</v>
      </c>
      <c r="H12" s="409">
        <v>86933</v>
      </c>
      <c r="I12" s="410">
        <v>2804.2903225806454</v>
      </c>
      <c r="J12" t="s">
        <v>59</v>
      </c>
    </row>
    <row r="13" spans="1:14" ht="21" customHeight="1" thickTop="1" thickBot="1">
      <c r="A13" s="265">
        <v>3.9</v>
      </c>
      <c r="B13" s="275" t="s">
        <v>338</v>
      </c>
      <c r="C13" s="266">
        <v>7.3</v>
      </c>
      <c r="D13" s="411">
        <v>0.18301541532660531</v>
      </c>
      <c r="E13" s="392" t="s">
        <v>537</v>
      </c>
      <c r="F13" s="389">
        <v>43786</v>
      </c>
      <c r="G13" s="389">
        <v>1412.4516129032259</v>
      </c>
      <c r="H13" s="389">
        <v>31330</v>
      </c>
      <c r="I13" s="412">
        <v>1010.6451612903226</v>
      </c>
      <c r="J13" t="s">
        <v>128</v>
      </c>
      <c r="N13" s="393"/>
    </row>
    <row r="14" spans="1:14" ht="19.5" customHeight="1" thickTop="1" thickBot="1">
      <c r="A14" s="270">
        <v>3.1</v>
      </c>
      <c r="B14" s="277" t="s">
        <v>339</v>
      </c>
      <c r="C14" s="386">
        <v>5.7</v>
      </c>
      <c r="D14" s="413">
        <v>0.21859955737069064</v>
      </c>
      <c r="E14" s="414" t="s">
        <v>538</v>
      </c>
      <c r="F14" s="415">
        <v>104335</v>
      </c>
      <c r="G14" s="416">
        <v>3365.6451612903224</v>
      </c>
      <c r="H14" s="417">
        <v>74414</v>
      </c>
      <c r="I14" s="416">
        <v>2400.4516129032259</v>
      </c>
      <c r="J14" t="s">
        <v>127</v>
      </c>
    </row>
    <row r="15" spans="1:14" ht="16.5" customHeight="1" thickTop="1" thickBot="1">
      <c r="A15" s="265">
        <v>3.11</v>
      </c>
      <c r="B15" s="275" t="s">
        <v>340</v>
      </c>
      <c r="C15" s="385">
        <v>8.6</v>
      </c>
      <c r="D15" s="387">
        <v>0.15684809926360743</v>
      </c>
      <c r="E15" s="388" t="s">
        <v>539</v>
      </c>
      <c r="F15" s="389">
        <v>135563</v>
      </c>
      <c r="G15" s="390">
        <v>4373</v>
      </c>
      <c r="H15" s="390">
        <v>90409</v>
      </c>
      <c r="I15" s="391">
        <v>2916.4193548387098</v>
      </c>
      <c r="J15" t="s">
        <v>57</v>
      </c>
      <c r="K15" s="433"/>
    </row>
    <row r="16" spans="1:14" ht="18.75" customHeight="1" thickTop="1" thickBot="1">
      <c r="A16" s="426">
        <v>3.12</v>
      </c>
      <c r="B16" s="427" t="s">
        <v>341</v>
      </c>
      <c r="C16" s="420">
        <v>6.5</v>
      </c>
      <c r="D16" s="421">
        <v>0.21618947743326936</v>
      </c>
      <c r="E16" s="422" t="s">
        <v>540</v>
      </c>
      <c r="F16" s="423">
        <v>59918</v>
      </c>
      <c r="G16" s="423">
        <v>1932.8387096774193</v>
      </c>
      <c r="H16" s="423">
        <v>44686</v>
      </c>
      <c r="I16" s="424">
        <v>1441.483870967742</v>
      </c>
      <c r="J16" t="s">
        <v>131</v>
      </c>
    </row>
    <row r="17" spans="1:19" ht="24.75" customHeight="1" thickTop="1" thickBot="1">
      <c r="A17" s="428">
        <v>4</v>
      </c>
      <c r="B17" s="429" t="s">
        <v>342</v>
      </c>
      <c r="C17" s="425">
        <v>2.4</v>
      </c>
      <c r="D17" s="430">
        <v>0.14364782288767317</v>
      </c>
      <c r="E17" s="435" t="s">
        <v>541</v>
      </c>
      <c r="F17" s="433">
        <v>36107</v>
      </c>
      <c r="G17" s="434">
        <v>1164.741935483871</v>
      </c>
      <c r="H17" s="432">
        <v>26228</v>
      </c>
      <c r="I17" s="431">
        <v>846.06451612903231</v>
      </c>
      <c r="J17" s="111" t="s">
        <v>126</v>
      </c>
    </row>
    <row r="18" spans="1:19" ht="13.5" thickTop="1">
      <c r="A18" s="1"/>
      <c r="C18"/>
      <c r="D18">
        <v>0.50614977507277059</v>
      </c>
      <c r="E18" t="s">
        <v>542</v>
      </c>
      <c r="F18">
        <v>434357</v>
      </c>
      <c r="G18" s="14">
        <v>14011.516129032258</v>
      </c>
      <c r="H18">
        <v>300380</v>
      </c>
      <c r="I18" s="163">
        <v>9689.677419354839</v>
      </c>
      <c r="J18" t="s">
        <v>125</v>
      </c>
    </row>
    <row r="19" spans="1:19" ht="13.5" thickBot="1">
      <c r="C19"/>
      <c r="D19">
        <v>0.13969974443602554</v>
      </c>
      <c r="E19" t="s">
        <v>543</v>
      </c>
      <c r="F19">
        <v>103956</v>
      </c>
      <c r="G19">
        <v>3353.4193548387098</v>
      </c>
      <c r="H19">
        <v>63591</v>
      </c>
      <c r="I19" s="163">
        <v>2051.3225806451615</v>
      </c>
      <c r="J19" t="s">
        <v>133</v>
      </c>
    </row>
    <row r="20" spans="1:19" ht="13.5" thickBot="1">
      <c r="C20"/>
      <c r="D20">
        <v>0.63256381825656871</v>
      </c>
      <c r="E20" t="s">
        <v>544</v>
      </c>
      <c r="F20">
        <v>273093</v>
      </c>
      <c r="G20">
        <v>8809.4516129032254</v>
      </c>
      <c r="H20" s="269">
        <v>187170</v>
      </c>
      <c r="I20" s="163">
        <v>6037.7419354838712</v>
      </c>
      <c r="J20" t="s">
        <v>130</v>
      </c>
    </row>
    <row r="21" spans="1:19" ht="14.25" thickTop="1" thickBot="1">
      <c r="C21"/>
      <c r="M21" s="348"/>
      <c r="N21" s="349"/>
      <c r="O21" s="350"/>
      <c r="P21" s="351"/>
      <c r="Q21" s="352"/>
      <c r="R21" s="351"/>
      <c r="S21" s="353"/>
    </row>
    <row r="22" spans="1:19" ht="13.5" thickBot="1">
      <c r="C22"/>
      <c r="M22" s="354"/>
      <c r="N22" s="355"/>
      <c r="O22" s="356"/>
      <c r="P22" s="357"/>
      <c r="Q22" s="357"/>
      <c r="R22" s="357"/>
      <c r="S22" s="358"/>
    </row>
    <row r="23" spans="1:19" ht="13.5" thickBot="1">
      <c r="C23"/>
      <c r="M23" s="354"/>
      <c r="N23" s="359"/>
      <c r="O23" s="360"/>
      <c r="P23" s="358"/>
      <c r="Q23" s="358"/>
      <c r="R23" s="358"/>
      <c r="S23" s="358"/>
    </row>
    <row r="24" spans="1:19">
      <c r="C24"/>
    </row>
    <row r="25" spans="1:19">
      <c r="C25"/>
    </row>
    <row r="26" spans="1:19">
      <c r="C26"/>
    </row>
    <row r="27" spans="1:19">
      <c r="C27"/>
    </row>
    <row r="28" spans="1:19">
      <c r="C28"/>
    </row>
    <row r="29" spans="1:19" ht="13.5" thickBot="1">
      <c r="C29"/>
    </row>
    <row r="30" spans="1:19" ht="32.25" thickBot="1">
      <c r="A30" s="278" t="s">
        <v>187</v>
      </c>
      <c r="B30" s="278" t="s">
        <v>188</v>
      </c>
      <c r="C30" s="278" t="s">
        <v>190</v>
      </c>
      <c r="D30" s="278" t="s">
        <v>191</v>
      </c>
      <c r="E30" s="278" t="s">
        <v>192</v>
      </c>
      <c r="F30" s="278" t="s">
        <v>326</v>
      </c>
      <c r="G30" s="278" t="s">
        <v>194</v>
      </c>
      <c r="H30" s="283" t="s">
        <v>327</v>
      </c>
      <c r="I30" s="299"/>
    </row>
    <row r="31" spans="1:19" ht="23.25" customHeight="1" thickTop="1" thickBot="1">
      <c r="A31" s="259">
        <v>1</v>
      </c>
      <c r="B31" s="279" t="s">
        <v>328</v>
      </c>
      <c r="C31" s="261">
        <v>0.52759999999999996</v>
      </c>
      <c r="D31" s="262">
        <v>1.6666666666666668E-3</v>
      </c>
      <c r="E31" s="263">
        <v>32929122</v>
      </c>
      <c r="F31" s="264">
        <f>E31/244</f>
        <v>134955.4180327869</v>
      </c>
      <c r="G31" s="263">
        <v>13785194</v>
      </c>
      <c r="H31" s="284">
        <f>G31/244</f>
        <v>56496.696721311477</v>
      </c>
      <c r="I31" s="300"/>
    </row>
    <row r="32" spans="1:19" ht="22.5" customHeight="1" thickBot="1">
      <c r="A32" s="265">
        <v>2</v>
      </c>
      <c r="B32" s="275" t="s">
        <v>329</v>
      </c>
      <c r="C32" s="267">
        <v>0.21594115799519215</v>
      </c>
      <c r="D32" s="280" t="s">
        <v>464</v>
      </c>
      <c r="E32" s="269">
        <v>4354608</v>
      </c>
      <c r="F32" s="269">
        <v>14324.368421052632</v>
      </c>
      <c r="G32" s="269">
        <v>2440601</v>
      </c>
      <c r="H32" s="285">
        <v>8028.292763157895</v>
      </c>
      <c r="I32" s="300" t="s">
        <v>56</v>
      </c>
    </row>
    <row r="33" spans="1:10" ht="24" customHeight="1" thickBot="1">
      <c r="A33" s="270">
        <v>3</v>
      </c>
      <c r="B33" s="277" t="s">
        <v>330</v>
      </c>
      <c r="C33" s="272">
        <f t="shared" ref="C33:H33" si="0">AVERAGE(C34:C45)</f>
        <v>0.40174290631036319</v>
      </c>
      <c r="D33" s="273" t="e">
        <f t="shared" si="0"/>
        <v>#DIV/0!</v>
      </c>
      <c r="E33" s="281">
        <f t="shared" si="0"/>
        <v>1631680.0833333333</v>
      </c>
      <c r="F33" s="281">
        <f t="shared" si="0"/>
        <v>5367.3686951754389</v>
      </c>
      <c r="G33" s="281">
        <f t="shared" si="0"/>
        <v>1086432</v>
      </c>
      <c r="H33" s="281">
        <f t="shared" si="0"/>
        <v>3573.78947368421</v>
      </c>
      <c r="I33" s="300"/>
      <c r="J33" s="1"/>
    </row>
    <row r="34" spans="1:10" ht="24" customHeight="1" thickBot="1">
      <c r="A34" s="265">
        <v>3.1</v>
      </c>
      <c r="B34" s="275" t="s">
        <v>331</v>
      </c>
      <c r="C34" s="267">
        <v>0.6133775981470887</v>
      </c>
      <c r="D34" s="268" t="s">
        <v>545</v>
      </c>
      <c r="E34" s="269">
        <v>2614892</v>
      </c>
      <c r="F34" s="296">
        <v>8601.6184210526317</v>
      </c>
      <c r="G34" s="269">
        <v>1569925</v>
      </c>
      <c r="H34" s="301">
        <v>5164.2269736842109</v>
      </c>
      <c r="I34" s="300" t="s">
        <v>81</v>
      </c>
      <c r="J34" s="286"/>
    </row>
    <row r="35" spans="1:10" ht="26.25" thickBot="1">
      <c r="A35" s="270">
        <v>3.2</v>
      </c>
      <c r="B35" s="277" t="s">
        <v>332</v>
      </c>
      <c r="C35" s="276">
        <v>0.34055247409137351</v>
      </c>
      <c r="D35" s="273" t="s">
        <v>546</v>
      </c>
      <c r="E35" s="274">
        <v>1179052</v>
      </c>
      <c r="F35" s="281">
        <v>3878.4605263157896</v>
      </c>
      <c r="G35" s="274">
        <v>788565</v>
      </c>
      <c r="H35" s="302">
        <v>2593.9638157894738</v>
      </c>
      <c r="I35" s="300" t="s">
        <v>124</v>
      </c>
      <c r="J35" s="286"/>
    </row>
    <row r="36" spans="1:10" ht="26.25" thickBot="1">
      <c r="A36" s="265">
        <v>3.3</v>
      </c>
      <c r="B36" s="275" t="s">
        <v>333</v>
      </c>
      <c r="C36" s="267">
        <v>0.51146907990671819</v>
      </c>
      <c r="D36" s="268" t="s">
        <v>547</v>
      </c>
      <c r="E36" s="269">
        <v>825660</v>
      </c>
      <c r="F36" s="296">
        <v>2715.9868421052633</v>
      </c>
      <c r="G36" s="269">
        <v>559073</v>
      </c>
      <c r="H36" s="301">
        <v>1839.0559210526317</v>
      </c>
      <c r="I36" s="300" t="s">
        <v>238</v>
      </c>
      <c r="J36" s="286"/>
    </row>
    <row r="37" spans="1:10" ht="25.5" customHeight="1" thickBot="1">
      <c r="A37" s="270">
        <v>3.4</v>
      </c>
      <c r="B37" s="277" t="s">
        <v>334</v>
      </c>
      <c r="C37" s="276">
        <v>0.60233493249244952</v>
      </c>
      <c r="D37" s="273" t="s">
        <v>548</v>
      </c>
      <c r="E37" s="274">
        <v>3180166</v>
      </c>
      <c r="F37" s="281">
        <v>10461.072368421053</v>
      </c>
      <c r="G37" s="274">
        <v>2155076</v>
      </c>
      <c r="H37" s="302">
        <v>7089.0657894736842</v>
      </c>
      <c r="I37" s="300" t="s">
        <v>59</v>
      </c>
      <c r="J37" s="286"/>
    </row>
    <row r="38" spans="1:10" ht="22.5" customHeight="1" thickBot="1">
      <c r="A38" s="265">
        <v>3.5</v>
      </c>
      <c r="B38" s="275" t="s">
        <v>335</v>
      </c>
      <c r="C38" s="267">
        <v>0.43242619038454139</v>
      </c>
      <c r="D38" s="268" t="s">
        <v>549</v>
      </c>
      <c r="E38" s="269">
        <v>985046</v>
      </c>
      <c r="F38" s="296">
        <v>3240.2828947368421</v>
      </c>
      <c r="G38" s="269">
        <v>742023</v>
      </c>
      <c r="H38" s="301">
        <v>2440.8651315789475</v>
      </c>
      <c r="I38" s="300" t="s">
        <v>128</v>
      </c>
      <c r="J38" s="286"/>
    </row>
    <row r="39" spans="1:10" ht="24" customHeight="1" thickBot="1">
      <c r="A39" s="270">
        <v>3.6</v>
      </c>
      <c r="B39" s="277" t="s">
        <v>336</v>
      </c>
      <c r="C39" s="276">
        <v>0.36322419774060671</v>
      </c>
      <c r="D39" s="273" t="s">
        <v>550</v>
      </c>
      <c r="E39" s="274">
        <v>1139472</v>
      </c>
      <c r="F39" s="281">
        <v>3748.2631578947367</v>
      </c>
      <c r="G39" s="274">
        <v>820853</v>
      </c>
      <c r="H39" s="302">
        <v>2700.1743421052633</v>
      </c>
      <c r="I39" s="300" t="s">
        <v>127</v>
      </c>
      <c r="J39" s="286"/>
    </row>
    <row r="40" spans="1:10" ht="21.75" customHeight="1" thickBot="1">
      <c r="A40" s="265">
        <v>3.7</v>
      </c>
      <c r="B40" s="275" t="s">
        <v>343</v>
      </c>
      <c r="C40" s="267">
        <v>0.26271329001674665</v>
      </c>
      <c r="D40" s="268" t="s">
        <v>551</v>
      </c>
      <c r="E40" s="269">
        <v>1750094</v>
      </c>
      <c r="F40" s="296">
        <v>5756.8881578947367</v>
      </c>
      <c r="G40" s="269">
        <v>1151888</v>
      </c>
      <c r="H40" s="301">
        <v>3789.1052631578946</v>
      </c>
      <c r="I40" s="300" t="s">
        <v>57</v>
      </c>
      <c r="J40" s="286"/>
    </row>
    <row r="41" spans="1:10" ht="23.25" customHeight="1" thickBot="1">
      <c r="A41" s="270">
        <v>3.8</v>
      </c>
      <c r="B41" s="277" t="s">
        <v>337</v>
      </c>
      <c r="C41" s="276">
        <v>0.20477768336891924</v>
      </c>
      <c r="D41" s="273" t="s">
        <v>552</v>
      </c>
      <c r="E41" s="274">
        <v>460512</v>
      </c>
      <c r="F41" s="281">
        <v>1514.8421052631579</v>
      </c>
      <c r="G41" s="274">
        <v>334177</v>
      </c>
      <c r="H41" s="302">
        <v>1099.266447368421</v>
      </c>
      <c r="I41" s="300" t="s">
        <v>131</v>
      </c>
      <c r="J41" s="286"/>
    </row>
    <row r="42" spans="1:10" ht="18.75" customHeight="1" thickBot="1">
      <c r="A42" s="265">
        <v>3.9</v>
      </c>
      <c r="B42" s="275" t="s">
        <v>338</v>
      </c>
      <c r="C42" s="267">
        <v>0.12165731935300333</v>
      </c>
      <c r="D42" s="268" t="s">
        <v>553</v>
      </c>
      <c r="E42" s="269">
        <v>354467</v>
      </c>
      <c r="F42" s="296">
        <v>1166.0098684210527</v>
      </c>
      <c r="G42" s="269">
        <v>241898</v>
      </c>
      <c r="H42" s="301">
        <v>795.71710526315792</v>
      </c>
      <c r="I42" s="300" t="s">
        <v>126</v>
      </c>
      <c r="J42" s="286"/>
    </row>
    <row r="43" spans="1:10" ht="22.5" customHeight="1" thickBot="1">
      <c r="A43" s="270">
        <v>3.1</v>
      </c>
      <c r="B43" s="277" t="s">
        <v>339</v>
      </c>
      <c r="C43" s="276">
        <v>0.38063206129501281</v>
      </c>
      <c r="D43" s="273" t="s">
        <v>554</v>
      </c>
      <c r="E43" s="274">
        <v>2381580</v>
      </c>
      <c r="F43" s="281">
        <v>7834.144736842105</v>
      </c>
      <c r="G43" s="274">
        <v>1515200</v>
      </c>
      <c r="H43" s="302">
        <v>4984.2105263157891</v>
      </c>
      <c r="I43" s="300" t="s">
        <v>125</v>
      </c>
      <c r="J43" s="286"/>
    </row>
    <row r="44" spans="1:10" ht="21" customHeight="1" thickBot="1">
      <c r="A44" s="265">
        <v>3.11</v>
      </c>
      <c r="B44" s="275" t="s">
        <v>340</v>
      </c>
      <c r="C44" s="267">
        <v>0.3389242597306808</v>
      </c>
      <c r="D44" s="268" t="s">
        <v>555</v>
      </c>
      <c r="E44" s="269">
        <v>1193473</v>
      </c>
      <c r="F44" s="296">
        <v>3925.8980263157896</v>
      </c>
      <c r="G44" s="269">
        <v>755785</v>
      </c>
      <c r="H44" s="301">
        <v>2486.1348684210525</v>
      </c>
      <c r="I44" s="300" t="s">
        <v>133</v>
      </c>
      <c r="J44" s="286"/>
    </row>
    <row r="45" spans="1:10" ht="22.5" customHeight="1" thickBot="1">
      <c r="A45" s="270">
        <v>3.12</v>
      </c>
      <c r="B45" s="277" t="s">
        <v>341</v>
      </c>
      <c r="C45" s="276">
        <v>0.64882578919721612</v>
      </c>
      <c r="D45" s="273" t="s">
        <v>464</v>
      </c>
      <c r="E45" s="274">
        <v>3515747</v>
      </c>
      <c r="F45" s="281">
        <v>11564.957236842105</v>
      </c>
      <c r="G45" s="274">
        <v>2402721</v>
      </c>
      <c r="H45" s="302">
        <v>7903.6875</v>
      </c>
      <c r="I45" s="300" t="s">
        <v>130</v>
      </c>
      <c r="J45" s="286"/>
    </row>
    <row r="46" spans="1:10" ht="22.5" customHeight="1" thickBot="1">
      <c r="A46" s="265">
        <v>4</v>
      </c>
      <c r="B46" s="275" t="s">
        <v>342</v>
      </c>
      <c r="C46" s="267">
        <v>6.1861833514261888E-2</v>
      </c>
      <c r="D46" s="268" t="s">
        <v>556</v>
      </c>
      <c r="E46" s="269">
        <v>76643</v>
      </c>
      <c r="F46" s="296">
        <v>252.11513157894737</v>
      </c>
      <c r="G46" s="296">
        <v>56681</v>
      </c>
      <c r="H46" s="301">
        <v>186.45065789473685</v>
      </c>
      <c r="I46" s="300" t="s">
        <v>80</v>
      </c>
      <c r="J46" s="286"/>
    </row>
    <row r="47" spans="1:10">
      <c r="J47" s="287"/>
    </row>
    <row r="72" spans="7:7" ht="18">
      <c r="G72" s="418"/>
    </row>
    <row r="73" spans="7:7" ht="18">
      <c r="G73" s="419"/>
    </row>
    <row r="74" spans="7:7">
      <c r="G74" s="1"/>
    </row>
  </sheetData>
  <sortState xmlns:xlrd2="http://schemas.microsoft.com/office/spreadsheetml/2017/richdata2" ref="D2:E13">
    <sortCondition ref="D1:D13"/>
  </sortState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A959-19B0-415F-A6F3-8E9D2FB52CE9}">
  <dimension ref="A1:B6"/>
  <sheetViews>
    <sheetView workbookViewId="0">
      <selection activeCell="B7" sqref="B7"/>
    </sheetView>
  </sheetViews>
  <sheetFormatPr defaultRowHeight="12.75"/>
  <cols>
    <col min="1" max="1" width="69.5703125" customWidth="1"/>
    <col min="2" max="2" width="30.28515625" customWidth="1"/>
    <col min="3" max="3" width="25.140625" customWidth="1"/>
  </cols>
  <sheetData>
    <row r="1" spans="1:2" ht="23.25">
      <c r="A1" s="288" t="s">
        <v>345</v>
      </c>
      <c r="B1" s="289">
        <f>'No of Visitors'!B7</f>
        <v>2295204</v>
      </c>
    </row>
    <row r="2" spans="1:2" ht="23.25">
      <c r="A2" s="288" t="s">
        <v>346</v>
      </c>
      <c r="B2" s="289">
        <f>'tbltransaction-organic'!N8</f>
        <v>6180</v>
      </c>
    </row>
    <row r="3" spans="1:2" ht="23.25">
      <c r="A3" s="288" t="s">
        <v>347</v>
      </c>
      <c r="B3" s="289">
        <v>2022</v>
      </c>
    </row>
    <row r="4" spans="1:2" ht="23.25">
      <c r="A4" s="288" t="s">
        <v>348</v>
      </c>
      <c r="B4" s="289">
        <v>5813</v>
      </c>
    </row>
    <row r="5" spans="1:2" ht="23.25">
      <c r="A5" s="288" t="s">
        <v>349</v>
      </c>
      <c r="B5" s="289">
        <v>1804</v>
      </c>
    </row>
    <row r="6" spans="1:2" ht="46.5">
      <c r="A6" s="288" t="s">
        <v>350</v>
      </c>
      <c r="B6" s="289">
        <v>560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29CF-1799-4647-A90D-636F8F257389}">
  <dimension ref="A1:E4387"/>
  <sheetViews>
    <sheetView workbookViewId="0">
      <selection activeCell="B2" sqref="B2:B12"/>
    </sheetView>
  </sheetViews>
  <sheetFormatPr defaultRowHeight="12.75"/>
  <cols>
    <col min="1" max="1" width="66.5703125" customWidth="1"/>
    <col min="2" max="2" width="13" customWidth="1"/>
    <col min="3" max="3" width="22.140625" customWidth="1"/>
    <col min="5" max="5" width="47.42578125" customWidth="1"/>
  </cols>
  <sheetData>
    <row r="1" spans="1:4" ht="24" customHeight="1">
      <c r="A1" s="292" t="s">
        <v>351</v>
      </c>
      <c r="B1" s="292" t="s">
        <v>268</v>
      </c>
      <c r="C1" s="292" t="s">
        <v>352</v>
      </c>
      <c r="D1" s="292" t="s">
        <v>156</v>
      </c>
    </row>
    <row r="2" spans="1:4" ht="18">
      <c r="A2" s="290" t="s">
        <v>353</v>
      </c>
      <c r="B2" s="194">
        <v>1290</v>
      </c>
      <c r="C2" s="205">
        <f>D2/B2</f>
        <v>2.2744186046511627</v>
      </c>
      <c r="D2" s="9">
        <v>2934</v>
      </c>
    </row>
    <row r="3" spans="1:4" ht="18">
      <c r="A3" s="290" t="s">
        <v>354</v>
      </c>
      <c r="B3" s="194">
        <v>1167</v>
      </c>
      <c r="C3" s="205">
        <f>D3/B3</f>
        <v>2.3521850899742929</v>
      </c>
      <c r="D3" s="9">
        <v>2745</v>
      </c>
    </row>
    <row r="4" spans="1:4" ht="18">
      <c r="A4" s="290" t="s">
        <v>356</v>
      </c>
      <c r="B4" s="194">
        <v>857</v>
      </c>
      <c r="C4" s="205">
        <f t="shared" ref="C4:C16" si="0">D4/B4</f>
        <v>1.3138856476079346</v>
      </c>
      <c r="D4" s="9">
        <v>1126</v>
      </c>
    </row>
    <row r="5" spans="1:4" ht="18">
      <c r="A5" s="290" t="s">
        <v>358</v>
      </c>
      <c r="B5" s="194">
        <v>761</v>
      </c>
      <c r="C5" s="205">
        <f t="shared" si="0"/>
        <v>2.1590013140604469</v>
      </c>
      <c r="D5" s="9">
        <v>1643</v>
      </c>
    </row>
    <row r="6" spans="1:4" ht="18">
      <c r="A6" s="290" t="s">
        <v>509</v>
      </c>
      <c r="B6" s="194">
        <v>582</v>
      </c>
      <c r="C6" s="205">
        <f>D6/B6</f>
        <v>5.1237113402061851</v>
      </c>
      <c r="D6" s="9">
        <v>2982</v>
      </c>
    </row>
    <row r="7" spans="1:4" ht="18">
      <c r="A7" s="290" t="s">
        <v>355</v>
      </c>
      <c r="B7" s="194">
        <v>568</v>
      </c>
      <c r="C7" s="205">
        <f t="shared" si="0"/>
        <v>2.2024647887323945</v>
      </c>
      <c r="D7" s="9">
        <v>1251</v>
      </c>
    </row>
    <row r="8" spans="1:4" ht="18">
      <c r="A8" s="290" t="s">
        <v>510</v>
      </c>
      <c r="B8" s="194">
        <v>506</v>
      </c>
      <c r="C8" s="205">
        <f t="shared" si="0"/>
        <v>1.5434782608695652</v>
      </c>
      <c r="D8" s="9">
        <v>781</v>
      </c>
    </row>
    <row r="9" spans="1:4" ht="18">
      <c r="A9" s="290" t="s">
        <v>511</v>
      </c>
      <c r="B9" s="194">
        <v>489</v>
      </c>
      <c r="C9" s="205">
        <f t="shared" si="0"/>
        <v>1.5051124744376279</v>
      </c>
      <c r="D9" s="9">
        <v>736</v>
      </c>
    </row>
    <row r="10" spans="1:4" ht="18">
      <c r="A10" s="290" t="s">
        <v>359</v>
      </c>
      <c r="B10" s="194">
        <v>431</v>
      </c>
      <c r="C10" s="205">
        <f t="shared" si="0"/>
        <v>2.1786542923433876</v>
      </c>
      <c r="D10" s="9">
        <v>939</v>
      </c>
    </row>
    <row r="11" spans="1:4" ht="18">
      <c r="A11" s="290" t="s">
        <v>361</v>
      </c>
      <c r="B11" s="194">
        <v>331</v>
      </c>
      <c r="C11" s="205">
        <f t="shared" si="0"/>
        <v>2.6525679758308156</v>
      </c>
      <c r="D11" s="9">
        <v>878</v>
      </c>
    </row>
    <row r="12" spans="1:4" ht="18">
      <c r="A12" s="290" t="s">
        <v>462</v>
      </c>
      <c r="B12" s="291">
        <v>315</v>
      </c>
      <c r="C12" s="205">
        <f t="shared" si="0"/>
        <v>2.5079365079365079</v>
      </c>
      <c r="D12" s="9">
        <v>790</v>
      </c>
    </row>
    <row r="13" spans="1:4" ht="18">
      <c r="A13" s="290" t="s">
        <v>448</v>
      </c>
      <c r="B13" s="291">
        <v>306</v>
      </c>
      <c r="C13" s="205">
        <f t="shared" si="0"/>
        <v>2.238562091503268</v>
      </c>
      <c r="D13" s="9">
        <v>685</v>
      </c>
    </row>
    <row r="14" spans="1:4" ht="18">
      <c r="A14" s="290" t="s">
        <v>357</v>
      </c>
      <c r="B14" s="291">
        <v>303</v>
      </c>
      <c r="C14" s="205">
        <f t="shared" si="0"/>
        <v>2.3366336633663365</v>
      </c>
      <c r="D14" s="9">
        <v>708</v>
      </c>
    </row>
    <row r="15" spans="1:4" ht="18">
      <c r="A15" s="290" t="s">
        <v>461</v>
      </c>
      <c r="B15" s="291">
        <v>298</v>
      </c>
      <c r="C15" s="205">
        <f t="shared" si="0"/>
        <v>1.9463087248322148</v>
      </c>
      <c r="D15" s="9">
        <v>580</v>
      </c>
    </row>
    <row r="16" spans="1:4" ht="18">
      <c r="A16" s="290" t="s">
        <v>360</v>
      </c>
      <c r="B16" s="291">
        <v>258</v>
      </c>
      <c r="C16" s="205">
        <f t="shared" si="0"/>
        <v>1.9844961240310077</v>
      </c>
      <c r="D16" s="9">
        <v>512</v>
      </c>
    </row>
    <row r="17" spans="2:3">
      <c r="B17" s="18"/>
      <c r="C17" s="18"/>
    </row>
    <row r="18" spans="2:3">
      <c r="B18" s="18"/>
      <c r="C18" s="18"/>
    </row>
    <row r="4387" spans="2:5">
      <c r="B4387" s="163">
        <f>SUM(B2:B4386)</f>
        <v>8462</v>
      </c>
      <c r="D4387">
        <f>SUM(D2:D4386)</f>
        <v>19290</v>
      </c>
      <c r="E4387">
        <f>D4387/B4387</f>
        <v>2.279602930749232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C137-EA2A-4F68-836D-CA328E1F426D}">
  <dimension ref="A1:R151"/>
  <sheetViews>
    <sheetView zoomScaleNormal="100" workbookViewId="0">
      <selection activeCell="D17" sqref="D17"/>
    </sheetView>
  </sheetViews>
  <sheetFormatPr defaultRowHeight="12.75"/>
  <cols>
    <col min="1" max="1" width="20" style="66" customWidth="1"/>
    <col min="2" max="2" width="21.5703125" style="66" bestFit="1" customWidth="1"/>
    <col min="3" max="3" width="21" customWidth="1"/>
  </cols>
  <sheetData>
    <row r="1" spans="1:18">
      <c r="A1" s="312"/>
      <c r="D1" s="313" t="s">
        <v>428</v>
      </c>
      <c r="F1" s="313" t="s">
        <v>432</v>
      </c>
      <c r="H1" s="313" t="s">
        <v>431</v>
      </c>
      <c r="J1" s="313" t="s">
        <v>433</v>
      </c>
      <c r="L1" s="313" t="s">
        <v>429</v>
      </c>
      <c r="N1" s="313" t="s">
        <v>427</v>
      </c>
      <c r="P1" s="312" t="s">
        <v>426</v>
      </c>
      <c r="R1" s="313" t="s">
        <v>434</v>
      </c>
    </row>
    <row r="2" spans="1:18">
      <c r="A2" s="313"/>
      <c r="C2" s="318" t="s">
        <v>82</v>
      </c>
      <c r="D2" s="313">
        <v>1282252</v>
      </c>
      <c r="F2" s="313">
        <v>907472</v>
      </c>
      <c r="H2" s="313">
        <v>1023639</v>
      </c>
      <c r="J2" s="313">
        <v>838837</v>
      </c>
      <c r="L2" s="313">
        <v>1111927</v>
      </c>
      <c r="N2" s="313">
        <v>2761059</v>
      </c>
      <c r="P2" s="313">
        <v>3349424</v>
      </c>
      <c r="R2" s="313">
        <v>796861</v>
      </c>
    </row>
    <row r="3" spans="1:18">
      <c r="A3" s="313"/>
      <c r="C3" s="318" t="s">
        <v>438</v>
      </c>
      <c r="D3" s="313">
        <v>1750181</v>
      </c>
      <c r="F3" s="313">
        <v>1300740</v>
      </c>
      <c r="H3" s="313">
        <v>1298056</v>
      </c>
      <c r="J3" s="313">
        <v>1123222</v>
      </c>
      <c r="L3" s="313">
        <v>1386083</v>
      </c>
      <c r="N3" s="313">
        <v>3436416</v>
      </c>
      <c r="P3" s="313">
        <v>4167538</v>
      </c>
      <c r="R3" s="313">
        <v>1013091</v>
      </c>
    </row>
    <row r="4" spans="1:18">
      <c r="A4" s="313"/>
      <c r="C4" s="318" t="s">
        <v>439</v>
      </c>
      <c r="D4" s="313">
        <v>141.91060528313815</v>
      </c>
      <c r="F4" s="313" t="s">
        <v>425</v>
      </c>
      <c r="H4" s="313">
        <v>167.84902706949157</v>
      </c>
      <c r="J4" s="313">
        <v>194.26855080822492</v>
      </c>
      <c r="L4" s="314" t="s">
        <v>430</v>
      </c>
      <c r="N4" s="313">
        <v>123.93680403644845</v>
      </c>
      <c r="P4" s="313">
        <v>117.77712881034391</v>
      </c>
      <c r="R4" s="313">
        <v>173.41304585106369</v>
      </c>
    </row>
    <row r="5" spans="1:18">
      <c r="A5" s="313"/>
      <c r="C5" s="318" t="s">
        <v>440</v>
      </c>
      <c r="D5" s="313">
        <v>1190484</v>
      </c>
      <c r="F5" s="313">
        <v>786757</v>
      </c>
      <c r="H5" s="313">
        <v>942198</v>
      </c>
      <c r="J5" s="313">
        <v>763581</v>
      </c>
      <c r="L5" s="313">
        <v>1033522</v>
      </c>
      <c r="N5" s="313">
        <v>2627860</v>
      </c>
      <c r="P5" s="313">
        <v>3131840</v>
      </c>
      <c r="R5" s="313">
        <v>675742</v>
      </c>
    </row>
    <row r="6" spans="1:18">
      <c r="A6" s="313"/>
      <c r="C6" s="318" t="s">
        <v>1</v>
      </c>
      <c r="D6" s="313">
        <v>3144863</v>
      </c>
      <c r="F6" s="313">
        <v>2467315</v>
      </c>
      <c r="H6" s="313">
        <v>2458860</v>
      </c>
      <c r="J6" s="313">
        <v>2268137</v>
      </c>
      <c r="L6" s="313">
        <v>2863687</v>
      </c>
      <c r="N6" s="313">
        <v>5582723</v>
      </c>
      <c r="P6" s="313">
        <v>6812079</v>
      </c>
      <c r="R6" s="313">
        <v>1857074</v>
      </c>
    </row>
    <row r="7" spans="1:18">
      <c r="A7" s="313"/>
      <c r="B7" s="313"/>
    </row>
    <row r="8" spans="1:18">
      <c r="A8" s="313"/>
      <c r="B8" s="313"/>
      <c r="D8" s="66" t="s">
        <v>428</v>
      </c>
      <c r="F8" s="66" t="s">
        <v>432</v>
      </c>
      <c r="H8" s="66" t="s">
        <v>431</v>
      </c>
      <c r="J8" s="66" t="s">
        <v>433</v>
      </c>
      <c r="L8" s="66" t="s">
        <v>429</v>
      </c>
      <c r="N8" s="66" t="s">
        <v>427</v>
      </c>
      <c r="P8" s="66" t="s">
        <v>426</v>
      </c>
      <c r="R8" s="66" t="s">
        <v>434</v>
      </c>
    </row>
    <row r="9" spans="1:18">
      <c r="A9" s="313"/>
      <c r="B9" s="313"/>
      <c r="C9" s="318" t="s">
        <v>82</v>
      </c>
      <c r="D9" s="66">
        <v>752812</v>
      </c>
      <c r="F9" s="317">
        <v>1952754</v>
      </c>
      <c r="H9" s="66">
        <v>1088842</v>
      </c>
      <c r="J9" s="66">
        <v>1822296</v>
      </c>
      <c r="L9" s="66">
        <v>1853288</v>
      </c>
      <c r="N9" s="66">
        <v>1647389</v>
      </c>
      <c r="P9" s="66">
        <v>1931770</v>
      </c>
      <c r="R9" s="66">
        <v>1196522</v>
      </c>
    </row>
    <row r="10" spans="1:18">
      <c r="A10" s="313"/>
      <c r="C10" s="318" t="s">
        <v>438</v>
      </c>
      <c r="D10" s="66">
        <v>975150</v>
      </c>
      <c r="F10" s="66">
        <v>2626352</v>
      </c>
      <c r="H10" s="66">
        <v>1505441</v>
      </c>
      <c r="J10" s="66">
        <v>2274026</v>
      </c>
      <c r="L10" s="66">
        <v>2295053</v>
      </c>
      <c r="N10" s="66">
        <v>2072987</v>
      </c>
      <c r="P10" s="66">
        <v>2318344</v>
      </c>
      <c r="R10" s="66">
        <v>1685981</v>
      </c>
    </row>
    <row r="11" spans="1:18">
      <c r="A11" s="313"/>
      <c r="C11" s="318" t="s">
        <v>439</v>
      </c>
      <c r="D11" s="66">
        <v>203.00204385954399</v>
      </c>
      <c r="F11" s="66">
        <v>144.000224676882</v>
      </c>
      <c r="H11" s="66" t="s">
        <v>436</v>
      </c>
      <c r="J11" s="66" t="s">
        <v>435</v>
      </c>
      <c r="L11" s="66">
        <v>131.81292166488834</v>
      </c>
      <c r="N11" s="66">
        <v>127.72968076725131</v>
      </c>
      <c r="P11" s="66">
        <v>122.84737963135497</v>
      </c>
      <c r="R11" s="66">
        <v>150.96375314832846</v>
      </c>
    </row>
    <row r="12" spans="1:18">
      <c r="A12" s="313"/>
      <c r="C12" s="318" t="s">
        <v>440</v>
      </c>
      <c r="D12" s="66">
        <v>686734</v>
      </c>
      <c r="F12" s="66">
        <v>1860236</v>
      </c>
      <c r="H12" s="66">
        <v>1019478</v>
      </c>
      <c r="J12" s="66">
        <v>1696705</v>
      </c>
      <c r="L12" s="66">
        <v>1743838</v>
      </c>
      <c r="N12" s="66">
        <v>1538599</v>
      </c>
      <c r="P12" s="66">
        <v>1786408</v>
      </c>
      <c r="R12" s="66">
        <v>1131167</v>
      </c>
    </row>
    <row r="13" spans="1:18">
      <c r="A13" s="313"/>
      <c r="C13" s="318" t="s">
        <v>1</v>
      </c>
      <c r="D13" s="66">
        <v>1954636</v>
      </c>
      <c r="F13" s="66">
        <v>4344916</v>
      </c>
      <c r="H13" s="66">
        <v>2538338</v>
      </c>
      <c r="J13" s="66">
        <v>3850224</v>
      </c>
      <c r="L13" s="66">
        <v>3699781</v>
      </c>
      <c r="N13" s="66">
        <v>3314614</v>
      </c>
      <c r="P13" s="66">
        <v>3748100</v>
      </c>
      <c r="R13" s="66">
        <v>2932771</v>
      </c>
    </row>
    <row r="14" spans="1:18">
      <c r="A14" s="313"/>
      <c r="C14" s="319" t="s">
        <v>441</v>
      </c>
      <c r="D14">
        <f>D13/D10</f>
        <v>2.0044464954109622</v>
      </c>
      <c r="F14">
        <f t="shared" ref="F14:R14" si="0">F13/F10</f>
        <v>1.6543540241369017</v>
      </c>
      <c r="H14">
        <f>H13/H10</f>
        <v>1.6861092530361534</v>
      </c>
      <c r="J14">
        <f t="shared" si="0"/>
        <v>1.6931310372001023</v>
      </c>
      <c r="L14">
        <f t="shared" si="0"/>
        <v>1.6120677823126526</v>
      </c>
      <c r="N14">
        <f t="shared" si="0"/>
        <v>1.5989555168459813</v>
      </c>
      <c r="P14">
        <f t="shared" si="0"/>
        <v>1.6167143443768484</v>
      </c>
      <c r="R14">
        <f t="shared" si="0"/>
        <v>1.7395041818383481</v>
      </c>
    </row>
    <row r="15" spans="1:18">
      <c r="A15" s="313"/>
      <c r="D15">
        <v>2.0044464949999998</v>
      </c>
      <c r="F15">
        <v>1.6543540240000001</v>
      </c>
      <c r="H15">
        <v>1.6861092529999999</v>
      </c>
      <c r="J15">
        <v>1.6931310369999999</v>
      </c>
      <c r="L15">
        <v>1.612067782</v>
      </c>
      <c r="N15">
        <v>1.598955517</v>
      </c>
      <c r="P15">
        <v>1.616714344</v>
      </c>
      <c r="R15">
        <v>1.7395041819999999</v>
      </c>
    </row>
    <row r="16" spans="1:18">
      <c r="A16" s="313"/>
      <c r="B16" s="313"/>
    </row>
    <row r="17" spans="1:16">
      <c r="A17" s="313"/>
      <c r="B17" s="313"/>
      <c r="D17" s="11"/>
    </row>
    <row r="18" spans="1:16">
      <c r="A18" s="313"/>
      <c r="B18" s="313"/>
      <c r="D18" s="11"/>
    </row>
    <row r="19" spans="1:16">
      <c r="A19" s="313"/>
    </row>
    <row r="20" spans="1:16">
      <c r="A20" s="313"/>
    </row>
    <row r="21" spans="1:16">
      <c r="A21" s="313"/>
    </row>
    <row r="22" spans="1:16">
      <c r="A22" s="313"/>
    </row>
    <row r="23" spans="1:16">
      <c r="A23" s="313"/>
    </row>
    <row r="24" spans="1:16">
      <c r="A24" s="313"/>
    </row>
    <row r="25" spans="1:16">
      <c r="A25" s="313"/>
      <c r="B25" s="320"/>
      <c r="P25" s="321"/>
    </row>
    <row r="26" spans="1:16">
      <c r="A26" s="313"/>
      <c r="B26" s="320"/>
      <c r="C26" s="66"/>
      <c r="D26" s="66"/>
      <c r="E26" s="66"/>
      <c r="F26" s="66"/>
      <c r="G26" s="66"/>
      <c r="H26" s="66"/>
      <c r="J26" s="66"/>
      <c r="K26" s="66"/>
      <c r="L26" s="66"/>
      <c r="M26" s="66"/>
      <c r="N26" s="66"/>
      <c r="O26" s="66"/>
    </row>
    <row r="27" spans="1:16">
      <c r="A27" s="313"/>
      <c r="B27" s="320"/>
    </row>
    <row r="28" spans="1:16">
      <c r="A28" s="313"/>
      <c r="C28" s="66"/>
      <c r="D28" s="66"/>
      <c r="E28" s="66"/>
      <c r="F28" s="66"/>
      <c r="G28" s="66"/>
      <c r="H28" s="66"/>
      <c r="J28" s="66"/>
      <c r="K28" s="317"/>
      <c r="L28" s="66"/>
      <c r="M28" s="66"/>
      <c r="N28" s="66"/>
      <c r="O28" s="66"/>
    </row>
    <row r="29" spans="1:16">
      <c r="A29" s="313"/>
    </row>
    <row r="30" spans="1:16">
      <c r="A30" s="313"/>
      <c r="C30" s="66"/>
      <c r="D30" s="66"/>
      <c r="E30" s="66"/>
      <c r="F30" s="66"/>
      <c r="G30" s="66"/>
      <c r="H30" s="66"/>
      <c r="J30" s="66"/>
      <c r="K30" s="66"/>
      <c r="L30" s="66"/>
      <c r="M30" s="66"/>
      <c r="N30" s="66"/>
      <c r="O30" s="66"/>
    </row>
    <row r="31" spans="1:16">
      <c r="A31" s="313"/>
    </row>
    <row r="32" spans="1:16">
      <c r="A32" s="313"/>
      <c r="C32" s="66"/>
      <c r="D32" s="66"/>
      <c r="E32" s="66"/>
      <c r="F32" s="66"/>
      <c r="G32" s="66"/>
      <c r="H32" s="66"/>
      <c r="J32" s="66"/>
      <c r="K32" s="66"/>
      <c r="L32" s="66"/>
      <c r="M32" s="66"/>
      <c r="N32" s="66"/>
      <c r="O32" s="66"/>
    </row>
    <row r="33" spans="1:15">
      <c r="A33" s="313"/>
    </row>
    <row r="34" spans="1:15">
      <c r="A34" s="313"/>
      <c r="B34" s="320"/>
      <c r="C34" s="66"/>
      <c r="D34" s="66"/>
      <c r="E34" s="66"/>
      <c r="F34" s="322"/>
      <c r="G34" s="66"/>
      <c r="H34" s="66"/>
      <c r="J34" s="66"/>
      <c r="K34" s="66"/>
      <c r="L34" s="66"/>
      <c r="M34" s="66"/>
      <c r="N34" s="66"/>
      <c r="O34" s="66"/>
    </row>
    <row r="35" spans="1:15">
      <c r="A35" s="313"/>
      <c r="B35" s="320"/>
    </row>
    <row r="36" spans="1:15">
      <c r="A36" s="313"/>
      <c r="B36" s="320"/>
      <c r="C36" s="66"/>
      <c r="D36" s="66"/>
      <c r="E36" s="66"/>
      <c r="F36" s="66"/>
      <c r="G36" s="66"/>
      <c r="H36" s="66"/>
      <c r="J36" s="66"/>
      <c r="K36" s="66"/>
      <c r="L36" s="66"/>
      <c r="M36" s="66"/>
      <c r="N36" s="66"/>
      <c r="O36" s="66"/>
    </row>
    <row r="37" spans="1:15">
      <c r="A37" s="313"/>
    </row>
    <row r="38" spans="1:15">
      <c r="A38" s="313"/>
      <c r="C38" s="323"/>
      <c r="D38" s="66"/>
      <c r="E38" s="66"/>
      <c r="F38" s="66"/>
      <c r="G38" s="66"/>
      <c r="H38" s="66"/>
      <c r="J38" s="66"/>
      <c r="K38" s="66"/>
      <c r="L38" s="66"/>
      <c r="M38" s="66"/>
      <c r="N38" s="66"/>
      <c r="O38" s="66"/>
    </row>
    <row r="39" spans="1:15">
      <c r="A39" s="313"/>
    </row>
    <row r="40" spans="1:15">
      <c r="A40" s="313"/>
      <c r="C40" s="66"/>
      <c r="D40" s="66"/>
      <c r="E40" s="66"/>
      <c r="F40" s="66"/>
      <c r="G40" s="66"/>
      <c r="H40" s="66"/>
      <c r="J40" s="66"/>
      <c r="K40" s="66"/>
      <c r="L40" s="66"/>
      <c r="M40" s="66"/>
      <c r="N40" s="66"/>
      <c r="O40" s="66"/>
    </row>
    <row r="41" spans="1:15">
      <c r="A41" s="313"/>
    </row>
    <row r="42" spans="1:15">
      <c r="A42" s="313"/>
    </row>
    <row r="43" spans="1:15">
      <c r="A43" s="313"/>
      <c r="B43" s="320"/>
    </row>
    <row r="44" spans="1:15">
      <c r="A44" s="313"/>
      <c r="B44" s="313"/>
    </row>
    <row r="45" spans="1:15">
      <c r="A45" s="313"/>
      <c r="B45" s="313"/>
    </row>
    <row r="46" spans="1:15">
      <c r="A46" s="313"/>
    </row>
    <row r="47" spans="1:15">
      <c r="A47" s="313"/>
    </row>
    <row r="48" spans="1:15">
      <c r="A48" s="313"/>
    </row>
    <row r="49" spans="1:2">
      <c r="A49" s="313"/>
    </row>
    <row r="50" spans="1:2">
      <c r="A50" s="313"/>
    </row>
    <row r="51" spans="1:2">
      <c r="A51" s="313"/>
    </row>
    <row r="52" spans="1:2">
      <c r="A52" s="313"/>
      <c r="B52" s="313"/>
    </row>
    <row r="53" spans="1:2">
      <c r="A53" s="313"/>
      <c r="B53" s="313"/>
    </row>
    <row r="54" spans="1:2">
      <c r="A54" s="313"/>
      <c r="B54" s="313"/>
    </row>
    <row r="55" spans="1:2">
      <c r="A55" s="313"/>
    </row>
    <row r="56" spans="1:2">
      <c r="A56" s="313"/>
    </row>
    <row r="57" spans="1:2">
      <c r="A57" s="315"/>
    </row>
    <row r="58" spans="1:2">
      <c r="A58" s="313"/>
    </row>
    <row r="59" spans="1:2">
      <c r="A59" s="313"/>
    </row>
    <row r="60" spans="1:2">
      <c r="A60" s="313"/>
    </row>
    <row r="61" spans="1:2">
      <c r="A61" s="313"/>
      <c r="B61" s="313"/>
    </row>
    <row r="62" spans="1:2">
      <c r="A62" s="313"/>
      <c r="B62" s="313"/>
    </row>
    <row r="63" spans="1:2">
      <c r="A63" s="313"/>
      <c r="B63" s="313"/>
    </row>
    <row r="64" spans="1:2">
      <c r="A64" s="313"/>
    </row>
    <row r="65" spans="1:2">
      <c r="A65" s="313"/>
    </row>
    <row r="66" spans="1:2">
      <c r="A66" s="313"/>
    </row>
    <row r="67" spans="1:2">
      <c r="A67" s="313"/>
    </row>
    <row r="68" spans="1:2">
      <c r="A68" s="313"/>
    </row>
    <row r="69" spans="1:2">
      <c r="A69" s="313"/>
    </row>
    <row r="70" spans="1:2">
      <c r="A70" s="313"/>
      <c r="B70" s="313"/>
    </row>
    <row r="71" spans="1:2">
      <c r="A71" s="313"/>
      <c r="B71" s="313"/>
    </row>
    <row r="72" spans="1:2">
      <c r="A72" s="313"/>
      <c r="B72" s="313"/>
    </row>
    <row r="73" spans="1:2">
      <c r="A73" s="313"/>
      <c r="B73" s="313" t="s">
        <v>431</v>
      </c>
    </row>
    <row r="74" spans="1:2">
      <c r="A74" s="313"/>
      <c r="B74" s="313">
        <v>25</v>
      </c>
    </row>
    <row r="75" spans="1:2">
      <c r="A75" s="313"/>
      <c r="B75" s="313">
        <v>29</v>
      </c>
    </row>
    <row r="76" spans="1:2">
      <c r="A76" s="313"/>
      <c r="B76" s="313" t="s">
        <v>437</v>
      </c>
    </row>
    <row r="77" spans="1:2">
      <c r="A77" s="313"/>
      <c r="B77" s="313">
        <v>0</v>
      </c>
    </row>
    <row r="78" spans="1:2">
      <c r="A78" s="313"/>
      <c r="B78" s="313">
        <v>0</v>
      </c>
    </row>
    <row r="79" spans="1:2">
      <c r="A79" s="313"/>
      <c r="B79" s="313"/>
    </row>
    <row r="80" spans="1:2">
      <c r="A80" s="313"/>
      <c r="B80" s="313"/>
    </row>
    <row r="81" spans="1:2">
      <c r="A81" s="313"/>
      <c r="B81" s="313"/>
    </row>
    <row r="82" spans="1:2">
      <c r="A82" s="313"/>
      <c r="B82" s="313" t="s">
        <v>432</v>
      </c>
    </row>
    <row r="83" spans="1:2">
      <c r="A83" s="313"/>
      <c r="B83" s="313">
        <v>2</v>
      </c>
    </row>
    <row r="84" spans="1:2">
      <c r="A84" s="313"/>
      <c r="B84" s="313">
        <v>2</v>
      </c>
    </row>
    <row r="85" spans="1:2">
      <c r="A85" s="313"/>
      <c r="B85" s="313">
        <v>5.029166</v>
      </c>
    </row>
    <row r="86" spans="1:2">
      <c r="A86" s="313"/>
      <c r="B86" s="313">
        <v>0</v>
      </c>
    </row>
    <row r="87" spans="1:2">
      <c r="A87" s="313"/>
      <c r="B87" s="313">
        <v>0</v>
      </c>
    </row>
    <row r="88" spans="1:2">
      <c r="A88" s="313"/>
      <c r="B88" s="313"/>
    </row>
    <row r="89" spans="1:2">
      <c r="A89" s="313"/>
      <c r="B89" s="313"/>
    </row>
    <row r="90" spans="1:2">
      <c r="A90" s="313"/>
      <c r="B90" s="313"/>
    </row>
    <row r="91" spans="1:2">
      <c r="A91" s="313"/>
      <c r="B91" s="313" t="s">
        <v>428</v>
      </c>
    </row>
    <row r="92" spans="1:2">
      <c r="A92" s="313"/>
      <c r="B92" s="313">
        <v>1</v>
      </c>
    </row>
    <row r="93" spans="1:2">
      <c r="A93" s="313"/>
      <c r="B93" s="313">
        <v>1</v>
      </c>
    </row>
    <row r="94" spans="1:2">
      <c r="A94" s="313"/>
      <c r="B94" s="313">
        <v>5.0424049999999996</v>
      </c>
    </row>
    <row r="95" spans="1:2">
      <c r="A95" s="313"/>
      <c r="B95" s="313">
        <v>0</v>
      </c>
    </row>
    <row r="96" spans="1:2">
      <c r="A96" s="313"/>
      <c r="B96" s="313">
        <v>0</v>
      </c>
    </row>
    <row r="97" spans="1:2">
      <c r="A97" s="313"/>
      <c r="B97" s="313"/>
    </row>
    <row r="98" spans="1:2">
      <c r="A98" s="313"/>
      <c r="B98" s="313"/>
    </row>
    <row r="99" spans="1:2">
      <c r="A99" s="313"/>
      <c r="B99" s="313"/>
    </row>
    <row r="100" spans="1:2">
      <c r="A100" s="313"/>
      <c r="B100" s="313" t="s">
        <v>431</v>
      </c>
    </row>
    <row r="101" spans="1:2">
      <c r="A101" s="313"/>
      <c r="B101" s="313">
        <v>1</v>
      </c>
    </row>
    <row r="102" spans="1:2">
      <c r="A102" s="313"/>
      <c r="B102" s="313">
        <v>1</v>
      </c>
    </row>
    <row r="103" spans="1:2">
      <c r="A103" s="313"/>
      <c r="B103" s="313">
        <v>4.7608439999999996</v>
      </c>
    </row>
    <row r="104" spans="1:2">
      <c r="A104" s="313"/>
      <c r="B104" s="313">
        <v>0</v>
      </c>
    </row>
    <row r="105" spans="1:2">
      <c r="A105" s="313"/>
      <c r="B105" s="313">
        <v>0</v>
      </c>
    </row>
    <row r="106" spans="1:2">
      <c r="A106" s="313"/>
      <c r="B106" s="313"/>
    </row>
    <row r="107" spans="1:2">
      <c r="A107" s="313"/>
      <c r="B107" s="313"/>
    </row>
    <row r="108" spans="1:2">
      <c r="A108" s="313"/>
      <c r="B108" s="313"/>
    </row>
    <row r="109" spans="1:2">
      <c r="A109" s="313"/>
      <c r="B109" s="313" t="s">
        <v>428</v>
      </c>
    </row>
    <row r="110" spans="1:2">
      <c r="A110" s="313"/>
      <c r="B110" s="313">
        <v>1</v>
      </c>
    </row>
    <row r="111" spans="1:2">
      <c r="A111" s="313"/>
      <c r="B111" s="313">
        <v>2</v>
      </c>
    </row>
    <row r="112" spans="1:2">
      <c r="A112" s="313"/>
      <c r="B112" s="313">
        <v>5.3477429999999995</v>
      </c>
    </row>
    <row r="113" spans="1:2">
      <c r="A113" s="313"/>
      <c r="B113" s="313">
        <v>0</v>
      </c>
    </row>
    <row r="114" spans="1:2">
      <c r="A114" s="313"/>
      <c r="B114" s="313">
        <v>0</v>
      </c>
    </row>
    <row r="115" spans="1:2">
      <c r="A115" s="313"/>
      <c r="B115" s="313"/>
    </row>
    <row r="116" spans="1:2">
      <c r="A116" s="313"/>
      <c r="B116" s="313"/>
    </row>
    <row r="117" spans="1:2">
      <c r="A117" s="313"/>
      <c r="B117" s="313"/>
    </row>
    <row r="118" spans="1:2">
      <c r="A118" s="313"/>
      <c r="B118" s="313" t="s">
        <v>426</v>
      </c>
    </row>
    <row r="119" spans="1:2">
      <c r="A119" s="313"/>
      <c r="B119" s="313">
        <v>1</v>
      </c>
    </row>
    <row r="120" spans="1:2">
      <c r="A120" s="313"/>
      <c r="B120" s="313">
        <v>1</v>
      </c>
    </row>
    <row r="121" spans="1:2">
      <c r="A121" s="313"/>
      <c r="B121" s="313">
        <v>4.9101879999999998</v>
      </c>
    </row>
    <row r="122" spans="1:2">
      <c r="A122" s="313"/>
      <c r="B122" s="313">
        <v>0</v>
      </c>
    </row>
    <row r="123" spans="1:2">
      <c r="A123" s="313"/>
      <c r="B123" s="313">
        <v>0</v>
      </c>
    </row>
    <row r="124" spans="1:2">
      <c r="A124" s="313"/>
      <c r="B124" s="313"/>
    </row>
    <row r="125" spans="1:2">
      <c r="A125" s="313"/>
      <c r="B125" s="313"/>
    </row>
    <row r="126" spans="1:2">
      <c r="A126" s="313"/>
      <c r="B126" s="313"/>
    </row>
    <row r="127" spans="1:2">
      <c r="A127" s="313"/>
      <c r="B127" s="313"/>
    </row>
    <row r="128" spans="1:2">
      <c r="A128" s="313"/>
      <c r="B128" s="313"/>
    </row>
    <row r="129" spans="1:2">
      <c r="A129" s="313"/>
      <c r="B129" s="313"/>
    </row>
    <row r="130" spans="1:2">
      <c r="A130" s="313"/>
      <c r="B130" s="313"/>
    </row>
    <row r="131" spans="1:2">
      <c r="A131" s="313"/>
      <c r="B131" s="313"/>
    </row>
    <row r="132" spans="1:2">
      <c r="A132" s="313"/>
      <c r="B132" s="313"/>
    </row>
    <row r="133" spans="1:2">
      <c r="A133" s="313"/>
      <c r="B133" s="313"/>
    </row>
    <row r="134" spans="1:2">
      <c r="A134" s="313"/>
      <c r="B134" s="313"/>
    </row>
    <row r="135" spans="1:2">
      <c r="A135" s="313"/>
      <c r="B135" s="313"/>
    </row>
    <row r="136" spans="1:2">
      <c r="A136" s="313"/>
      <c r="B136" s="313"/>
    </row>
    <row r="137" spans="1:2">
      <c r="A137" s="313"/>
      <c r="B137" s="313"/>
    </row>
    <row r="138" spans="1:2">
      <c r="A138" s="313"/>
      <c r="B138" s="313"/>
    </row>
    <row r="139" spans="1:2">
      <c r="A139" s="313"/>
      <c r="B139" s="313"/>
    </row>
    <row r="140" spans="1:2">
      <c r="A140" s="313"/>
      <c r="B140" s="313"/>
    </row>
    <row r="141" spans="1:2">
      <c r="A141" s="313"/>
      <c r="B141" s="313"/>
    </row>
    <row r="142" spans="1:2">
      <c r="A142" s="313"/>
      <c r="B142" s="313"/>
    </row>
    <row r="143" spans="1:2">
      <c r="A143" s="313"/>
      <c r="B143" s="313"/>
    </row>
    <row r="144" spans="1:2">
      <c r="A144" s="313"/>
      <c r="B144" s="313"/>
    </row>
    <row r="145" spans="1:2">
      <c r="A145" s="313"/>
      <c r="B145" s="313"/>
    </row>
    <row r="146" spans="1:2">
      <c r="A146" s="313"/>
      <c r="B146" s="313"/>
    </row>
    <row r="147" spans="1:2">
      <c r="A147" s="313"/>
      <c r="B147" s="313"/>
    </row>
    <row r="148" spans="1:2">
      <c r="A148" s="313"/>
      <c r="B148" s="313"/>
    </row>
    <row r="149" spans="1:2">
      <c r="A149" s="313"/>
      <c r="B149" s="313"/>
    </row>
    <row r="150" spans="1:2">
      <c r="A150" s="313"/>
      <c r="B150" s="313"/>
    </row>
    <row r="151" spans="1:2">
      <c r="A151" s="313"/>
      <c r="B151" s="313"/>
    </row>
  </sheetData>
  <sortState xmlns:xlrd2="http://schemas.microsoft.com/office/spreadsheetml/2017/richdata2" ref="A1:B151">
    <sortCondition ref="A1:A151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FC35-06F3-41DF-BD69-53D3A27A4372}">
  <dimension ref="A1:B22"/>
  <sheetViews>
    <sheetView workbookViewId="0">
      <selection activeCell="B2" sqref="B2:B16"/>
    </sheetView>
  </sheetViews>
  <sheetFormatPr defaultRowHeight="12.75"/>
  <cols>
    <col min="1" max="1" width="96.28515625" style="8" customWidth="1"/>
    <col min="2" max="2" width="14.42578125" style="295" bestFit="1" customWidth="1"/>
  </cols>
  <sheetData>
    <row r="1" spans="1:2" ht="18">
      <c r="A1" s="436" t="s">
        <v>378</v>
      </c>
      <c r="B1" s="437" t="s">
        <v>379</v>
      </c>
    </row>
    <row r="2" spans="1:2" ht="19.5" customHeight="1">
      <c r="A2" s="438" t="s">
        <v>366</v>
      </c>
      <c r="B2" s="439">
        <v>107763</v>
      </c>
    </row>
    <row r="3" spans="1:2" ht="15">
      <c r="A3" s="440" t="s">
        <v>371</v>
      </c>
      <c r="B3" s="441">
        <v>89139</v>
      </c>
    </row>
    <row r="4" spans="1:2" ht="15">
      <c r="A4" s="442" t="s">
        <v>367</v>
      </c>
      <c r="B4" s="443">
        <v>87759</v>
      </c>
    </row>
    <row r="5" spans="1:2" ht="15">
      <c r="A5" s="444" t="s">
        <v>368</v>
      </c>
      <c r="B5" s="445">
        <v>85119</v>
      </c>
    </row>
    <row r="6" spans="1:2" ht="15">
      <c r="A6" s="446" t="s">
        <v>372</v>
      </c>
      <c r="B6" s="447">
        <v>83474</v>
      </c>
    </row>
    <row r="7" spans="1:2" ht="15">
      <c r="A7" s="448" t="s">
        <v>370</v>
      </c>
      <c r="B7" s="449">
        <v>81083</v>
      </c>
    </row>
    <row r="8" spans="1:2" ht="15">
      <c r="A8" s="450" t="s">
        <v>365</v>
      </c>
      <c r="B8" s="451">
        <v>78930</v>
      </c>
    </row>
    <row r="9" spans="1:2" ht="15">
      <c r="A9" s="452" t="s">
        <v>373</v>
      </c>
      <c r="B9" s="453">
        <v>78537</v>
      </c>
    </row>
    <row r="10" spans="1:2" ht="15">
      <c r="A10" s="454" t="s">
        <v>374</v>
      </c>
      <c r="B10" s="455">
        <v>72882</v>
      </c>
    </row>
    <row r="11" spans="1:2" ht="15">
      <c r="A11" s="456" t="s">
        <v>369</v>
      </c>
      <c r="B11" s="457">
        <v>70978</v>
      </c>
    </row>
    <row r="12" spans="1:2" ht="15">
      <c r="A12" s="458" t="s">
        <v>376</v>
      </c>
      <c r="B12" s="459">
        <v>51982</v>
      </c>
    </row>
    <row r="13" spans="1:2" ht="15">
      <c r="A13" s="460" t="s">
        <v>442</v>
      </c>
      <c r="B13" s="461">
        <v>49232</v>
      </c>
    </row>
    <row r="14" spans="1:2" ht="15">
      <c r="A14" s="462" t="s">
        <v>419</v>
      </c>
      <c r="B14" s="463">
        <v>48828</v>
      </c>
    </row>
    <row r="15" spans="1:2" ht="15">
      <c r="A15" s="464" t="s">
        <v>377</v>
      </c>
      <c r="B15" s="465">
        <v>35638</v>
      </c>
    </row>
    <row r="16" spans="1:2" ht="15">
      <c r="A16" s="466" t="s">
        <v>375</v>
      </c>
      <c r="B16" s="467">
        <v>35155</v>
      </c>
    </row>
    <row r="22" spans="2:2">
      <c r="B22" s="295" t="s">
        <v>380</v>
      </c>
    </row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FC8F-E22A-4C0B-B6F1-5ABAEAAE43FB}">
  <dimension ref="A1:D18"/>
  <sheetViews>
    <sheetView workbookViewId="0">
      <selection activeCell="H4" sqref="H4"/>
    </sheetView>
  </sheetViews>
  <sheetFormatPr defaultRowHeight="12.75"/>
  <cols>
    <col min="1" max="1" width="34" customWidth="1"/>
    <col min="2" max="2" width="16.7109375" customWidth="1"/>
    <col min="3" max="3" width="13.85546875" bestFit="1" customWidth="1"/>
    <col min="4" max="4" width="18" style="2" bestFit="1" customWidth="1"/>
  </cols>
  <sheetData>
    <row r="1" spans="1:4" ht="14.25">
      <c r="A1" s="293" t="s">
        <v>362</v>
      </c>
      <c r="B1" s="293" t="s">
        <v>265</v>
      </c>
      <c r="C1" s="293" t="s">
        <v>363</v>
      </c>
      <c r="D1" s="294" t="s">
        <v>364</v>
      </c>
    </row>
    <row r="2" spans="1:4" ht="15">
      <c r="A2" s="492" t="s">
        <v>398</v>
      </c>
      <c r="B2" s="493">
        <v>1175</v>
      </c>
      <c r="C2" s="494">
        <v>1584</v>
      </c>
      <c r="D2" s="495">
        <v>1.3480851063829786</v>
      </c>
    </row>
    <row r="3" spans="1:4" ht="15">
      <c r="A3" s="496" t="s">
        <v>399</v>
      </c>
      <c r="B3" s="497">
        <v>504</v>
      </c>
      <c r="C3" s="498">
        <v>1565</v>
      </c>
      <c r="D3" s="499">
        <v>3.1051587301587302</v>
      </c>
    </row>
    <row r="4" spans="1:4" ht="15">
      <c r="A4" s="500" t="s">
        <v>401</v>
      </c>
      <c r="B4" s="501">
        <v>229</v>
      </c>
      <c r="C4" s="502">
        <v>396</v>
      </c>
      <c r="D4" s="503">
        <v>1.7292576419213974</v>
      </c>
    </row>
    <row r="5" spans="1:4" ht="15">
      <c r="A5" s="504" t="s">
        <v>402</v>
      </c>
      <c r="B5" s="505">
        <v>43</v>
      </c>
      <c r="C5" s="506">
        <v>49</v>
      </c>
      <c r="D5" s="507">
        <v>1.1395348837209303</v>
      </c>
    </row>
    <row r="6" spans="1:4" ht="15">
      <c r="A6" s="508" t="s">
        <v>400</v>
      </c>
      <c r="B6" s="509">
        <v>26</v>
      </c>
      <c r="C6" s="510">
        <v>44</v>
      </c>
      <c r="D6" s="511">
        <v>1.6923076923076923</v>
      </c>
    </row>
    <row r="7" spans="1:4" ht="15">
      <c r="A7" s="512" t="s">
        <v>506</v>
      </c>
      <c r="B7" s="513">
        <v>2</v>
      </c>
      <c r="C7" s="514">
        <v>3</v>
      </c>
      <c r="D7" s="515">
        <v>1.5</v>
      </c>
    </row>
    <row r="8" spans="1:4" ht="15">
      <c r="A8" s="516" t="s">
        <v>458</v>
      </c>
      <c r="B8" s="517">
        <v>2</v>
      </c>
      <c r="C8" s="518">
        <v>2</v>
      </c>
      <c r="D8" s="519">
        <v>1</v>
      </c>
    </row>
    <row r="9" spans="1:4" ht="15">
      <c r="A9" s="520" t="s">
        <v>459</v>
      </c>
      <c r="B9" s="521">
        <v>1</v>
      </c>
      <c r="C9" s="522">
        <v>1</v>
      </c>
      <c r="D9" s="523">
        <v>1</v>
      </c>
    </row>
    <row r="10" spans="1:4" ht="15">
      <c r="A10" s="524" t="s">
        <v>507</v>
      </c>
      <c r="B10" s="525">
        <v>1</v>
      </c>
      <c r="C10" s="526">
        <v>1</v>
      </c>
      <c r="D10" s="527">
        <v>1</v>
      </c>
    </row>
    <row r="11" spans="1:4" ht="15">
      <c r="A11" s="361" t="s">
        <v>446</v>
      </c>
      <c r="B11" s="362">
        <v>1</v>
      </c>
      <c r="C11" s="363">
        <v>1</v>
      </c>
      <c r="D11" s="364">
        <v>1</v>
      </c>
    </row>
    <row r="12" spans="1:4">
      <c r="A12" s="9"/>
      <c r="B12" s="9"/>
      <c r="C12" s="9"/>
      <c r="D12" s="10"/>
    </row>
    <row r="13" spans="1:4">
      <c r="A13" s="9"/>
      <c r="B13" s="9"/>
      <c r="C13" s="9"/>
      <c r="D13" s="10"/>
    </row>
    <row r="14" spans="1:4">
      <c r="A14" s="9"/>
      <c r="B14" s="9"/>
      <c r="C14" s="9"/>
      <c r="D14" s="10"/>
    </row>
    <row r="15" spans="1:4">
      <c r="A15" s="9"/>
      <c r="B15" s="9"/>
      <c r="C15" s="9"/>
      <c r="D15" s="10"/>
    </row>
    <row r="16" spans="1:4">
      <c r="A16" s="9"/>
      <c r="B16" s="9"/>
      <c r="C16" s="9"/>
      <c r="D16" s="10"/>
    </row>
    <row r="17" spans="1:4">
      <c r="A17" s="9"/>
      <c r="B17" s="9"/>
      <c r="C17" s="9"/>
      <c r="D17" s="10"/>
    </row>
    <row r="18" spans="1:4">
      <c r="A18" s="9"/>
      <c r="B18" s="9"/>
      <c r="C18" s="9"/>
      <c r="D18" s="10"/>
    </row>
  </sheetData>
  <autoFilter ref="A1:D10" xr:uid="{2045F8F0-4821-47C0-8409-58E31FC08EF7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920B-7222-43F6-96EE-83E30AB0BBC4}">
  <dimension ref="A1:J107"/>
  <sheetViews>
    <sheetView topLeftCell="A67" workbookViewId="0">
      <selection activeCell="E48" sqref="E48"/>
    </sheetView>
  </sheetViews>
  <sheetFormatPr defaultRowHeight="12.75"/>
  <cols>
    <col min="1" max="1" width="28.5703125" bestFit="1" customWidth="1"/>
    <col min="2" max="2" width="19" bestFit="1" customWidth="1"/>
    <col min="3" max="3" width="23.7109375" bestFit="1" customWidth="1"/>
    <col min="4" max="4" width="14.85546875" bestFit="1" customWidth="1"/>
    <col min="5" max="6" width="18.42578125" bestFit="1" customWidth="1"/>
    <col min="7" max="8" width="25.7109375" bestFit="1" customWidth="1"/>
    <col min="9" max="9" width="16.140625" bestFit="1" customWidth="1"/>
  </cols>
  <sheetData>
    <row r="1" spans="1:9">
      <c r="A1" s="583" t="s">
        <v>186</v>
      </c>
      <c r="B1" s="584"/>
      <c r="C1" s="584"/>
      <c r="D1" s="584"/>
      <c r="E1" s="584"/>
      <c r="F1" s="584"/>
      <c r="G1" s="584"/>
      <c r="H1" s="584"/>
      <c r="I1" s="584"/>
    </row>
    <row r="2" spans="1:9">
      <c r="A2" s="584"/>
      <c r="B2" s="584"/>
      <c r="C2" s="584"/>
      <c r="D2" s="584"/>
      <c r="E2" s="584"/>
      <c r="F2" s="584"/>
      <c r="G2" s="584"/>
      <c r="H2" s="584"/>
      <c r="I2" s="584"/>
    </row>
    <row r="3" spans="1:9">
      <c r="A3" s="584"/>
      <c r="B3" s="584"/>
      <c r="C3" s="584"/>
      <c r="D3" s="584"/>
      <c r="E3" s="584"/>
      <c r="F3" s="584"/>
      <c r="G3" s="584"/>
      <c r="H3" s="584"/>
      <c r="I3" s="584"/>
    </row>
    <row r="4" spans="1:9">
      <c r="A4" t="s">
        <v>187</v>
      </c>
      <c r="B4" t="s">
        <v>188</v>
      </c>
      <c r="C4" t="s">
        <v>189</v>
      </c>
      <c r="D4" t="s">
        <v>190</v>
      </c>
      <c r="E4" t="s">
        <v>191</v>
      </c>
      <c r="F4" t="s">
        <v>192</v>
      </c>
      <c r="G4" s="44" t="s">
        <v>193</v>
      </c>
      <c r="H4" t="s">
        <v>194</v>
      </c>
      <c r="I4" s="45" t="s">
        <v>195</v>
      </c>
    </row>
    <row r="5" spans="1:9">
      <c r="A5" s="46">
        <v>1</v>
      </c>
      <c r="B5" s="46" t="s">
        <v>196</v>
      </c>
      <c r="C5" s="47">
        <v>6.8</v>
      </c>
      <c r="D5" s="48">
        <v>0.56189999999999996</v>
      </c>
      <c r="E5" s="49">
        <v>1.423611111111111E-3</v>
      </c>
      <c r="F5" s="50">
        <v>5582723</v>
      </c>
      <c r="G5" s="51">
        <f>Table1879101112131415161718192021222324252627282930313233343536373839404142434448495152535455565758596263646568697071[[#This Row],[Total Pageviews]]/30</f>
        <v>186090.76666666666</v>
      </c>
      <c r="H5" s="50">
        <v>2721899</v>
      </c>
      <c r="I5" s="52">
        <f>Table1879101112131415161718192021222324252627282930313233343536373839404142434448495152535455565758596263646568697071[[#This Row],[Total Unique Pageviews]]/30</f>
        <v>90729.96666666666</v>
      </c>
    </row>
    <row r="6" spans="1:9">
      <c r="A6" s="46">
        <v>2</v>
      </c>
      <c r="B6" s="46" t="s">
        <v>197</v>
      </c>
      <c r="C6" s="53">
        <v>4.8</v>
      </c>
      <c r="D6" s="48" t="str">
        <f>TEXT(B25*100, "0.00") &amp; "%"</f>
        <v>15.51%</v>
      </c>
      <c r="E6" s="49" t="str">
        <f>TEXT(INT(C25/3600), "00") &amp; ":" &amp; TEXT(INT(MOD(C25, 3600)/60), "00") &amp; ":" &amp; TEXT(MOD(C25, 60), "00")</f>
        <v>00:01:16</v>
      </c>
      <c r="F6">
        <v>448494</v>
      </c>
      <c r="G6" s="51">
        <f>Table1879101112131415161718192021222324252627282930313233343536373839404142434448495152535455565758596263646568697071[[#This Row],[Total Pageviews]]/30</f>
        <v>14949.8</v>
      </c>
      <c r="H6">
        <v>247711</v>
      </c>
      <c r="I6" s="52">
        <f>Table1879101112131415161718192021222324252627282930313233343536373839404142434448495152535455565758596263646568697071[[#This Row],[Total Unique Pageviews]]/30</f>
        <v>8257.0333333333328</v>
      </c>
    </row>
    <row r="7" spans="1:9">
      <c r="A7" s="46">
        <v>3</v>
      </c>
      <c r="B7" s="46" t="s">
        <v>198</v>
      </c>
      <c r="C7" s="53">
        <v>7.6</v>
      </c>
      <c r="D7" s="54">
        <v>0.33679999999999999</v>
      </c>
      <c r="E7" s="53" t="str">
        <f>TEXT(INT(C40/3600), "00") &amp; ":" &amp; TEXT(INT(MOD(C40, 3600)/60), "00") &amp; ":" &amp; TEXT(MOD(C40, 60), "00")</f>
        <v>00:01:49</v>
      </c>
      <c r="F7" s="55">
        <f>AVERAGE(F8:F19)</f>
        <v>280307.91666666669</v>
      </c>
      <c r="G7" s="51">
        <f>Table1879101112131415161718192021222324252627282930313233343536373839404142434448495152535455565758596263646568697071[[#This Row],[Total Pageviews]]/30</f>
        <v>9343.5972222222226</v>
      </c>
      <c r="H7" s="55">
        <f>AVERAGE(H8:H19)</f>
        <v>204240</v>
      </c>
      <c r="I7" s="52">
        <f>Table1879101112131415161718192021222324252627282930313233343536373839404142434448495152535455565758596263646568697071[[#This Row],[Total Unique Pageviews]]/30</f>
        <v>6808</v>
      </c>
    </row>
    <row r="8" spans="1:9">
      <c r="A8" s="46">
        <v>3.1</v>
      </c>
      <c r="B8" s="56" t="s">
        <v>179</v>
      </c>
      <c r="C8" s="53">
        <v>9</v>
      </c>
      <c r="D8" s="48" t="str">
        <f>TEXT(B26*100, "0.00") &amp; "%"</f>
        <v>11.96%</v>
      </c>
      <c r="E8" s="53" t="str">
        <f>TEXT(INT(C26/3600), "00") &amp; ":" &amp; TEXT(INT(MOD(C26, 3600)/60), "00") &amp; ":" &amp; TEXT(MOD(C26, 60), "00")</f>
        <v>00:01:44</v>
      </c>
      <c r="F8" s="53">
        <v>38649</v>
      </c>
      <c r="G8" s="51">
        <f>Table1879101112131415161718192021222324252627282930313233343536373839404142434448495152535455565758596263646568697071[[#This Row],[Total Pageviews]]/30</f>
        <v>1288.3</v>
      </c>
      <c r="H8">
        <v>28688</v>
      </c>
      <c r="I8" s="52">
        <f>Table1879101112131415161718192021222324252627282930313233343536373839404142434448495152535455565758596263646568697071[[#This Row],[Total Unique Pageviews]]/30</f>
        <v>956.26666666666665</v>
      </c>
    </row>
    <row r="9" spans="1:9">
      <c r="A9" s="46">
        <v>3.2</v>
      </c>
      <c r="B9" s="57" t="s">
        <v>175</v>
      </c>
      <c r="C9" s="53">
        <v>8.9</v>
      </c>
      <c r="D9" s="48" t="str">
        <f>TEXT(B27*100, "0.00") &amp; "%"</f>
        <v>48.45%</v>
      </c>
      <c r="E9" s="53" t="str">
        <f>TEXT(INT(C27/3600), "00") &amp; ":" &amp; TEXT(INT(MOD(C27, 3600)/60), "00") &amp; ":" &amp; TEXT(MOD(C27, 60), "00")</f>
        <v>00:01:13</v>
      </c>
      <c r="F9" s="53">
        <v>231412</v>
      </c>
      <c r="G9" s="51">
        <f>Table1879101112131415161718192021222324252627282930313233343536373839404142434448495152535455565758596263646568697071[[#This Row],[Total Pageviews]]/30</f>
        <v>7713.7333333333336</v>
      </c>
      <c r="H9">
        <v>174732</v>
      </c>
      <c r="I9" s="52">
        <f>Table1879101112131415161718192021222324252627282930313233343536373839404142434448495152535455565758596263646568697071[[#This Row],[Total Unique Pageviews]]/30</f>
        <v>5824.4</v>
      </c>
    </row>
    <row r="10" spans="1:9">
      <c r="A10" s="46">
        <v>3.3</v>
      </c>
      <c r="B10" s="58" t="s">
        <v>177</v>
      </c>
      <c r="C10" s="53">
        <v>6.8</v>
      </c>
      <c r="D10" s="48" t="str">
        <f>TEXT(B28*100, "0.00") &amp; "%"</f>
        <v>9.91%</v>
      </c>
      <c r="E10" s="53" t="str">
        <f t="shared" ref="E10:E21" si="0">TEXT(INT(C28/3600), "00") &amp; ":" &amp; TEXT(INT(MOD(C28, 3600)/60), "00") &amp; ":" &amp; TEXT(MOD(C28, 60), "00")</f>
        <v>00:01:36</v>
      </c>
      <c r="F10" s="53">
        <v>45031</v>
      </c>
      <c r="G10" s="51">
        <f>Table1879101112131415161718192021222324252627282930313233343536373839404142434448495152535455565758596263646568697071[[#This Row],[Total Pageviews]]/30</f>
        <v>1501.0333333333333</v>
      </c>
      <c r="H10">
        <v>32702</v>
      </c>
      <c r="I10" s="52">
        <f>Table1879101112131415161718192021222324252627282930313233343536373839404142434448495152535455565758596263646568697071[[#This Row],[Total Unique Pageviews]]/30</f>
        <v>1090.0666666666666</v>
      </c>
    </row>
    <row r="11" spans="1:9">
      <c r="A11" s="46">
        <v>3.4</v>
      </c>
      <c r="B11" s="59" t="s">
        <v>162</v>
      </c>
      <c r="C11" s="53">
        <v>9.1999999999999993</v>
      </c>
      <c r="D11" s="48" t="str">
        <f t="shared" ref="D11:D21" si="1">TEXT(B29*100, "0.00") &amp; "%"</f>
        <v>64.03%</v>
      </c>
      <c r="E11" s="53" t="str">
        <f t="shared" si="0"/>
        <v>00:01:13</v>
      </c>
      <c r="F11" s="53">
        <v>563690</v>
      </c>
      <c r="G11" s="51">
        <f>Table1879101112131415161718192021222324252627282930313233343536373839404142434448495152535455565758596263646568697071[[#This Row],[Total Pageviews]]/30</f>
        <v>18789.666666666668</v>
      </c>
      <c r="H11">
        <v>432835</v>
      </c>
      <c r="I11" s="52">
        <f>Table1879101112131415161718192021222324252627282930313233343536373839404142434448495152535455565758596263646568697071[[#This Row],[Total Unique Pageviews]]/30</f>
        <v>14427.833333333334</v>
      </c>
    </row>
    <row r="12" spans="1:9">
      <c r="A12" s="46">
        <v>3.5</v>
      </c>
      <c r="B12" s="57" t="s">
        <v>174</v>
      </c>
      <c r="C12" s="47">
        <v>7.7</v>
      </c>
      <c r="D12" s="48" t="str">
        <f t="shared" si="1"/>
        <v>37.59%</v>
      </c>
      <c r="E12" s="53" t="str">
        <f t="shared" si="0"/>
        <v>00:01:25</v>
      </c>
      <c r="F12" s="53">
        <v>183825</v>
      </c>
      <c r="G12" s="51">
        <f>Table1879101112131415161718192021222324252627282930313233343536373839404142434448495152535455565758596263646568697071[[#This Row],[Total Pageviews]]/30</f>
        <v>6127.5</v>
      </c>
      <c r="H12">
        <v>155711</v>
      </c>
      <c r="I12" s="52">
        <f>Table1879101112131415161718192021222324252627282930313233343536373839404142434448495152535455565758596263646568697071[[#This Row],[Total Unique Pageviews]]/30</f>
        <v>5190.3666666666668</v>
      </c>
    </row>
    <row r="13" spans="1:9">
      <c r="A13" s="46">
        <v>3.6</v>
      </c>
      <c r="B13" s="57" t="s">
        <v>199</v>
      </c>
      <c r="C13" s="53">
        <v>8.3000000000000007</v>
      </c>
      <c r="D13" s="48" t="str">
        <f>TEXT(B31*100, "0.00") &amp; "%"</f>
        <v>26.87%</v>
      </c>
      <c r="E13" s="53" t="str">
        <f>TEXT(INT(C31/3600), "00") &amp; ":" &amp; TEXT(INT(MOD(C31, 3600)/60), "00") &amp; ":" &amp; TEXT(MOD(C31, 60), "00")</f>
        <v>00:03:07</v>
      </c>
      <c r="F13" s="53">
        <v>264319</v>
      </c>
      <c r="G13" s="51">
        <f>Table1879101112131415161718192021222324252627282930313233343536373839404142434448495152535455565758596263646568697071[[#This Row],[Total Pageviews]]/30</f>
        <v>8810.6333333333332</v>
      </c>
      <c r="H13">
        <v>182457</v>
      </c>
      <c r="I13" s="52">
        <f>Table1879101112131415161718192021222324252627282930313233343536373839404142434448495152535455565758596263646568697071[[#This Row],[Total Unique Pageviews]]/30</f>
        <v>6081.9</v>
      </c>
    </row>
    <row r="14" spans="1:9">
      <c r="A14" s="46">
        <v>3.7</v>
      </c>
      <c r="B14" s="58" t="s">
        <v>170</v>
      </c>
      <c r="C14" s="60">
        <v>7.8</v>
      </c>
      <c r="D14" s="48" t="str">
        <f t="shared" si="1"/>
        <v>66.02%</v>
      </c>
      <c r="E14" s="60" t="str">
        <f>TEXT(INT(C32/3600), "00") &amp; ":" &amp; TEXT(INT(MOD(C32, 3600)/60), "00") &amp; ":" &amp; TEXT(MOD(C32, 60), "00")</f>
        <v>00:00:59</v>
      </c>
      <c r="F14" s="61">
        <v>290309</v>
      </c>
      <c r="G14" s="62">
        <f>Table1879101112131415161718192021222324252627282930313233343536373839404142434448495152535455565758596263646568697071[[#This Row],[Total Pageviews]]/30</f>
        <v>9676.9666666666672</v>
      </c>
      <c r="H14">
        <v>242887</v>
      </c>
      <c r="I14" s="63">
        <f>Table1879101112131415161718192021222324252627282930313233343536373839404142434448495152535455565758596263646568697071[[#This Row],[Total Unique Pageviews]]/30</f>
        <v>8096.2333333333336</v>
      </c>
    </row>
    <row r="15" spans="1:9">
      <c r="A15" s="46">
        <v>3.8</v>
      </c>
      <c r="B15" s="59" t="s">
        <v>200</v>
      </c>
      <c r="C15" s="53">
        <v>6</v>
      </c>
      <c r="D15" s="48" t="str">
        <f t="shared" si="1"/>
        <v>11.56%</v>
      </c>
      <c r="E15" s="53" t="str">
        <f t="shared" si="0"/>
        <v>00:01:46</v>
      </c>
      <c r="F15" s="53">
        <v>36637</v>
      </c>
      <c r="G15" s="51">
        <f>Table1879101112131415161718192021222324252627282930313233343536373839404142434448495152535455565758596263646568697071[[#This Row],[Total Pageviews]]/30</f>
        <v>1221.2333333333333</v>
      </c>
      <c r="H15">
        <v>27307</v>
      </c>
      <c r="I15" s="52">
        <f>Table1879101112131415161718192021222324252627282930313233343536373839404142434448495152535455565758596263646568697071[[#This Row],[Total Unique Pageviews]]/30</f>
        <v>910.23333333333335</v>
      </c>
    </row>
    <row r="16" spans="1:9">
      <c r="A16" s="46">
        <v>3.9</v>
      </c>
      <c r="B16" s="57" t="s">
        <v>166</v>
      </c>
      <c r="C16" s="53">
        <v>5.6</v>
      </c>
      <c r="D16" s="48" t="str">
        <f t="shared" si="1"/>
        <v>11.61%</v>
      </c>
      <c r="E16" s="53" t="str">
        <f t="shared" si="0"/>
        <v>00:03:15</v>
      </c>
      <c r="F16" s="53">
        <v>36542</v>
      </c>
      <c r="G16" s="51">
        <f>Table1879101112131415161718192021222324252627282930313233343536373839404142434448495152535455565758596263646568697071[[#This Row],[Total Pageviews]]/30</f>
        <v>1218.0666666666666</v>
      </c>
      <c r="H16">
        <v>26669</v>
      </c>
      <c r="I16" s="52">
        <f>Table1879101112131415161718192021222324252627282930313233343536373839404142434448495152535455565758596263646568697071[[#This Row],[Total Unique Pageviews]]/30</f>
        <v>888.9666666666667</v>
      </c>
    </row>
    <row r="17" spans="1:9">
      <c r="A17" s="64">
        <v>3.1</v>
      </c>
      <c r="B17" s="59" t="s">
        <v>201</v>
      </c>
      <c r="C17" s="53">
        <v>6.7</v>
      </c>
      <c r="D17" s="48" t="str">
        <f t="shared" si="1"/>
        <v>37.53%</v>
      </c>
      <c r="E17" s="53" t="str">
        <f t="shared" si="0"/>
        <v>00:01:49</v>
      </c>
      <c r="F17" s="53">
        <v>352173</v>
      </c>
      <c r="G17" s="51">
        <f>Table1879101112131415161718192021222324252627282930313233343536373839404142434448495152535455565758596263646568697071[[#This Row],[Total Pageviews]]/30</f>
        <v>11739.1</v>
      </c>
      <c r="H17">
        <v>244231</v>
      </c>
      <c r="I17" s="52">
        <f>Table1879101112131415161718192021222324252627282930313233343536373839404142434448495152535455565758596263646568697071[[#This Row],[Total Unique Pageviews]]/30</f>
        <v>8141.0333333333338</v>
      </c>
    </row>
    <row r="18" spans="1:9">
      <c r="A18" s="64">
        <v>3.11</v>
      </c>
      <c r="B18" s="57" t="s">
        <v>202</v>
      </c>
      <c r="C18" s="53">
        <v>7.3</v>
      </c>
      <c r="D18" s="48" t="str">
        <f t="shared" si="1"/>
        <v>14.59%</v>
      </c>
      <c r="E18" s="53" t="str">
        <f t="shared" si="0"/>
        <v>00:02:16</v>
      </c>
      <c r="F18" s="53">
        <v>92195</v>
      </c>
      <c r="G18" s="51">
        <f>Table1879101112131415161718192021222324252627282930313233343536373839404142434448495152535455565758596263646568697071[[#This Row],[Total Pageviews]]/30</f>
        <v>3073.1666666666665</v>
      </c>
      <c r="H18">
        <v>57189</v>
      </c>
      <c r="I18" s="52">
        <f>Table1879101112131415161718192021222324252627282930313233343536373839404142434448495152535455565758596263646568697071[[#This Row],[Total Unique Pageviews]]/30</f>
        <v>1906.3</v>
      </c>
    </row>
    <row r="19" spans="1:9">
      <c r="A19" s="64">
        <v>3.12</v>
      </c>
      <c r="B19" s="57" t="s">
        <v>181</v>
      </c>
      <c r="C19" s="47">
        <v>8.6999999999999993</v>
      </c>
      <c r="D19" s="48" t="str">
        <f t="shared" si="1"/>
        <v>64.13%</v>
      </c>
      <c r="E19" s="53" t="str">
        <f t="shared" si="0"/>
        <v>00:01:22</v>
      </c>
      <c r="F19" s="53">
        <v>1228913</v>
      </c>
      <c r="G19" s="51">
        <f>Table1879101112131415161718192021222324252627282930313233343536373839404142434448495152535455565758596263646568697071[[#This Row],[Total Pageviews]]/30</f>
        <v>40963.76666666667</v>
      </c>
      <c r="H19">
        <v>845472</v>
      </c>
      <c r="I19" s="52">
        <f>Table1879101112131415161718192021222324252627282930313233343536373839404142434448495152535455565758596263646568697071[[#This Row],[Total Unique Pageviews]]/30</f>
        <v>28182.400000000001</v>
      </c>
    </row>
    <row r="20" spans="1:9">
      <c r="A20" s="46">
        <v>4</v>
      </c>
      <c r="B20" s="46" t="s">
        <v>203</v>
      </c>
      <c r="C20" s="53">
        <v>2.8</v>
      </c>
      <c r="D20" s="48" t="str">
        <f>TEXT(B38*100, "0.00") &amp; "%"</f>
        <v>5.90%</v>
      </c>
      <c r="E20" s="53" t="str">
        <f>TEXT(INT(C38/3600), "00") &amp; ":" &amp; TEXT(INT(MOD(C38, 3600)/60), "00") &amp; ":" &amp; TEXT(MOD(C38, 60), "00")</f>
        <v>00:01:00</v>
      </c>
      <c r="F20" s="53">
        <v>8211</v>
      </c>
      <c r="G20" s="51">
        <f>Table1879101112131415161718192021222324252627282930313233343536373839404142434448495152535455565758596263646568697071[[#This Row],[Total Pageviews]]/30</f>
        <v>273.7</v>
      </c>
      <c r="H20">
        <v>6276</v>
      </c>
      <c r="I20" s="52">
        <f>Table1879101112131415161718192021222324252627282930313233343536373839404142434448495152535455565758596263646568697071[[#This Row],[Total Unique Pageviews]]/30</f>
        <v>209.2</v>
      </c>
    </row>
    <row r="21" spans="1:9">
      <c r="A21" s="46">
        <v>5</v>
      </c>
      <c r="B21" s="46" t="s">
        <v>204</v>
      </c>
      <c r="C21" s="53">
        <v>2.9</v>
      </c>
      <c r="D21" s="48" t="str">
        <f t="shared" si="1"/>
        <v>20.01%</v>
      </c>
      <c r="E21" s="53" t="str">
        <f t="shared" si="0"/>
        <v>00:01:55</v>
      </c>
      <c r="F21" s="53">
        <v>12025</v>
      </c>
      <c r="G21" s="51">
        <f>Table1879101112131415161718192021222324252627282930313233343536373839404142434448495152535455565758596263646568697071[[#This Row],[Total Pageviews]]/30</f>
        <v>400.83333333333331</v>
      </c>
      <c r="H21" s="53">
        <v>9056</v>
      </c>
      <c r="I21" s="52">
        <f>Table1879101112131415161718192021222324252627282930313233343536373839404142434448495152535455565758596263646568697071[[#This Row],[Total Unique Pageviews]]/30</f>
        <v>301.86666666666667</v>
      </c>
    </row>
    <row r="22" spans="1:9">
      <c r="G22" s="44"/>
      <c r="I22" s="45"/>
    </row>
    <row r="23" spans="1:9">
      <c r="G23" s="44"/>
      <c r="I23" s="45"/>
    </row>
    <row r="24" spans="1:9" ht="15">
      <c r="A24" s="65" t="s">
        <v>205</v>
      </c>
      <c r="B24" s="65" t="s">
        <v>206</v>
      </c>
      <c r="C24" s="65" t="s">
        <v>207</v>
      </c>
      <c r="D24" s="65" t="s">
        <v>156</v>
      </c>
      <c r="E24" s="65" t="s">
        <v>208</v>
      </c>
      <c r="G24" s="44" t="s">
        <v>209</v>
      </c>
      <c r="I24" s="45"/>
    </row>
    <row r="25" spans="1:9" ht="15">
      <c r="A25" s="65"/>
      <c r="B25">
        <v>0.15505079577453801</v>
      </c>
      <c r="C25">
        <v>75.582028131216404</v>
      </c>
      <c r="D25">
        <v>448494</v>
      </c>
      <c r="E25" s="65"/>
      <c r="G25" s="44"/>
      <c r="I25" s="45"/>
    </row>
    <row r="26" spans="1:9">
      <c r="A26" s="8" t="s">
        <v>210</v>
      </c>
      <c r="B26">
        <v>0.119589049677378</v>
      </c>
      <c r="C26">
        <v>104.292182861523</v>
      </c>
      <c r="D26">
        <v>38649</v>
      </c>
      <c r="E26" s="66">
        <v>24018</v>
      </c>
      <c r="F26" s="4"/>
      <c r="G26">
        <v>19.41</v>
      </c>
      <c r="H26">
        <v>11.96</v>
      </c>
      <c r="I26" s="45"/>
    </row>
    <row r="27" spans="1:9">
      <c r="A27" s="8" t="s">
        <v>211</v>
      </c>
      <c r="B27">
        <v>0.48448262753744298</v>
      </c>
      <c r="C27">
        <v>73.198862503697498</v>
      </c>
      <c r="D27">
        <v>231412</v>
      </c>
      <c r="E27" s="66">
        <v>54859</v>
      </c>
      <c r="G27">
        <v>21.93</v>
      </c>
      <c r="H27">
        <v>48.45</v>
      </c>
      <c r="I27" s="45"/>
    </row>
    <row r="28" spans="1:9">
      <c r="A28" s="8" t="s">
        <v>212</v>
      </c>
      <c r="B28">
        <v>9.9095384139584006E-2</v>
      </c>
      <c r="C28">
        <v>96.071579644107103</v>
      </c>
      <c r="D28">
        <v>45031</v>
      </c>
      <c r="E28" s="66">
        <v>23370</v>
      </c>
      <c r="G28">
        <v>16.510000000000002</v>
      </c>
      <c r="H28">
        <v>9.91</v>
      </c>
      <c r="I28" s="45"/>
    </row>
    <row r="29" spans="1:9">
      <c r="A29" s="8" t="s">
        <v>213</v>
      </c>
      <c r="B29">
        <v>0.64034770793161999</v>
      </c>
      <c r="C29">
        <v>72.757911299730196</v>
      </c>
      <c r="D29">
        <v>563690</v>
      </c>
      <c r="E29" s="66">
        <v>39291</v>
      </c>
      <c r="G29">
        <v>23.31</v>
      </c>
      <c r="H29">
        <v>64.03</v>
      </c>
      <c r="I29" s="45"/>
    </row>
    <row r="30" spans="1:9">
      <c r="A30" s="8" t="s">
        <v>214</v>
      </c>
      <c r="B30">
        <v>0.37586372560067799</v>
      </c>
      <c r="C30">
        <v>84.653908325193797</v>
      </c>
      <c r="D30">
        <v>183825</v>
      </c>
      <c r="E30" s="66">
        <v>35447</v>
      </c>
      <c r="G30" s="67">
        <v>26.83</v>
      </c>
      <c r="H30">
        <v>37.590000000000003</v>
      </c>
      <c r="I30" s="68"/>
    </row>
    <row r="31" spans="1:9">
      <c r="A31" s="8" t="s">
        <v>215</v>
      </c>
      <c r="B31">
        <v>0.26869273783719699</v>
      </c>
      <c r="C31">
        <v>186.518064621919</v>
      </c>
      <c r="D31">
        <v>264319</v>
      </c>
      <c r="E31" s="66">
        <v>146848</v>
      </c>
      <c r="G31">
        <v>42.73</v>
      </c>
      <c r="H31">
        <v>26.87</v>
      </c>
      <c r="I31" s="45"/>
    </row>
    <row r="32" spans="1:9">
      <c r="A32" s="8" t="s">
        <v>216</v>
      </c>
      <c r="B32">
        <v>0.66024563170741102</v>
      </c>
      <c r="C32">
        <v>59.152429839053099</v>
      </c>
      <c r="D32">
        <v>290309</v>
      </c>
      <c r="E32" s="66">
        <v>55622</v>
      </c>
      <c r="G32">
        <v>21.65</v>
      </c>
      <c r="H32">
        <v>66.02</v>
      </c>
      <c r="I32" s="45"/>
    </row>
    <row r="33" spans="1:9">
      <c r="A33" s="8" t="s">
        <v>217</v>
      </c>
      <c r="B33">
        <v>0.115595861540426</v>
      </c>
      <c r="C33">
        <v>105.92176310790001</v>
      </c>
      <c r="D33">
        <v>36637</v>
      </c>
      <c r="E33" s="66">
        <v>22626</v>
      </c>
      <c r="G33">
        <v>13.79</v>
      </c>
      <c r="H33">
        <v>11.56</v>
      </c>
      <c r="I33" s="45"/>
    </row>
    <row r="34" spans="1:9">
      <c r="A34" s="8" t="s">
        <v>218</v>
      </c>
      <c r="B34">
        <v>0.116071148476958</v>
      </c>
      <c r="C34">
        <v>194.559437593562</v>
      </c>
      <c r="D34">
        <v>36542</v>
      </c>
      <c r="E34" s="66">
        <v>28347</v>
      </c>
      <c r="G34">
        <v>12.97</v>
      </c>
      <c r="H34">
        <v>11.61</v>
      </c>
      <c r="I34" s="45"/>
    </row>
    <row r="35" spans="1:9">
      <c r="A35" s="8" t="s">
        <v>219</v>
      </c>
      <c r="B35">
        <v>0.37532915130627198</v>
      </c>
      <c r="C35">
        <v>109.48364842563601</v>
      </c>
      <c r="D35">
        <v>352173</v>
      </c>
      <c r="E35" s="66">
        <v>87350</v>
      </c>
      <c r="G35">
        <v>26.13</v>
      </c>
      <c r="H35">
        <v>37.53</v>
      </c>
      <c r="I35" s="45"/>
    </row>
    <row r="36" spans="1:9">
      <c r="A36" s="8" t="s">
        <v>220</v>
      </c>
      <c r="B36">
        <v>0.14585015511452901</v>
      </c>
      <c r="C36">
        <v>135.535659043191</v>
      </c>
      <c r="D36">
        <v>92195</v>
      </c>
      <c r="E36" s="66">
        <v>79384</v>
      </c>
      <c r="G36">
        <v>18.239999999999998</v>
      </c>
      <c r="H36">
        <v>14.59</v>
      </c>
      <c r="I36" s="45"/>
    </row>
    <row r="37" spans="1:9">
      <c r="A37" s="8" t="s">
        <v>221</v>
      </c>
      <c r="B37">
        <v>0.64129148947500503</v>
      </c>
      <c r="C37">
        <v>81.861923580169801</v>
      </c>
      <c r="D37">
        <v>1228913</v>
      </c>
      <c r="E37" s="66">
        <v>22132</v>
      </c>
      <c r="G37">
        <v>21.01</v>
      </c>
      <c r="H37">
        <v>64.13</v>
      </c>
      <c r="I37" s="45"/>
    </row>
    <row r="38" spans="1:9">
      <c r="A38" s="8" t="s">
        <v>222</v>
      </c>
      <c r="B38">
        <v>5.89777195281782E-2</v>
      </c>
      <c r="C38">
        <v>60.435410485073497</v>
      </c>
      <c r="D38">
        <v>8211</v>
      </c>
      <c r="E38" s="66">
        <v>4582</v>
      </c>
      <c r="G38" s="44"/>
      <c r="I38" s="45"/>
    </row>
    <row r="39" spans="1:9">
      <c r="A39" s="8" t="s">
        <v>223</v>
      </c>
      <c r="B39" s="66">
        <v>0.20010354646647599</v>
      </c>
      <c r="C39" s="66">
        <v>115.48267555776999</v>
      </c>
      <c r="D39" s="66">
        <v>12025</v>
      </c>
      <c r="E39" s="66">
        <v>9056</v>
      </c>
      <c r="G39" s="44"/>
      <c r="I39" s="45"/>
    </row>
    <row r="40" spans="1:9">
      <c r="B40" s="44"/>
      <c r="C40" s="44">
        <f>AVERAGE(C26:C37)</f>
        <v>108.66728090380688</v>
      </c>
      <c r="F40" t="s">
        <v>224</v>
      </c>
      <c r="G40" s="44"/>
      <c r="I40" s="45"/>
    </row>
    <row r="41" spans="1:9">
      <c r="G41" s="44"/>
      <c r="I41" s="45"/>
    </row>
    <row r="42" spans="1:9">
      <c r="G42" s="44"/>
      <c r="I42" s="45"/>
    </row>
    <row r="43" spans="1:9">
      <c r="G43" s="44"/>
      <c r="I43" s="45"/>
    </row>
    <row r="44" spans="1:9">
      <c r="G44" s="44"/>
      <c r="I44" s="45"/>
    </row>
    <row r="45" spans="1:9">
      <c r="A45" t="s">
        <v>187</v>
      </c>
      <c r="B45" t="s">
        <v>188</v>
      </c>
      <c r="C45" t="s">
        <v>190</v>
      </c>
      <c r="D45" t="s">
        <v>191</v>
      </c>
      <c r="E45" t="s">
        <v>192</v>
      </c>
      <c r="F45" s="44" t="s">
        <v>193</v>
      </c>
      <c r="G45" t="s">
        <v>194</v>
      </c>
      <c r="H45" s="45" t="s">
        <v>195</v>
      </c>
    </row>
    <row r="46" spans="1:9">
      <c r="A46" s="53">
        <v>1</v>
      </c>
      <c r="B46" s="69" t="s">
        <v>196</v>
      </c>
      <c r="C46" s="48">
        <v>0.54520000000000002</v>
      </c>
      <c r="D46" s="49">
        <v>1.6435185185185183E-3</v>
      </c>
      <c r="E46" s="50">
        <v>18785585</v>
      </c>
      <c r="F46" s="51">
        <f>Table18791011121314151617181920212223242526272829303132333435363738394041424344484951525354555657585962636465686970713[[#This Row],[Total Pageviews]]/181</f>
        <v>103787.76243093923</v>
      </c>
      <c r="G46" s="50">
        <v>7522783</v>
      </c>
      <c r="H46" s="51">
        <f>Table18791011121314151617181920212223242526272829303132333435363738394041424344484951525354555657585962636465686970713[[#This Row],[Total Unique Pageviews]]/181</f>
        <v>41562.337016574587</v>
      </c>
    </row>
    <row r="47" spans="1:9">
      <c r="A47" s="53">
        <v>2</v>
      </c>
      <c r="B47" s="69" t="s">
        <v>197</v>
      </c>
      <c r="C47" s="48" t="str">
        <f>TEXT(B69*100, "0.00") &amp; "%"</f>
        <v>26.56%</v>
      </c>
      <c r="D47" s="49" t="str">
        <f>TEXT(INT(C69/3600), "00") &amp; ":" &amp; TEXT(INT(MOD(C69, 3600)/60), "00") &amp; ":" &amp; TEXT(MOD(C69, 60), "00")</f>
        <v>00:01:10</v>
      </c>
      <c r="E47">
        <v>2535514</v>
      </c>
      <c r="F47" s="51">
        <f>Table18791011121314151617181920212223242526272829303132333435363738394041424344484951525354555657585962636465686970713[[#This Row],[Total Pageviews]]/181</f>
        <v>14008.364640883978</v>
      </c>
      <c r="G47">
        <v>1482436</v>
      </c>
      <c r="H47" s="51">
        <f>Table18791011121314151617181920212223242526272829303132333435363738394041424344484951525354555657585962636465686970713[[#This Row],[Total Unique Pageviews]]/181</f>
        <v>8190.2541436464089</v>
      </c>
    </row>
    <row r="48" spans="1:9">
      <c r="A48" s="53">
        <v>3</v>
      </c>
      <c r="B48" s="69" t="s">
        <v>198</v>
      </c>
      <c r="C48" s="54">
        <v>0.34300000000000003</v>
      </c>
      <c r="D48" s="53" t="str">
        <f>TEXT(INT(C85/3600), "00") &amp; ":" &amp; TEXT(INT(MOD(C85, 3600)/60), "00") &amp; ":" &amp; TEXT(MOD(C85, 60), "00")</f>
        <v>00:01:49</v>
      </c>
      <c r="E48" s="55">
        <f>AVERAGE(E49:E60)</f>
        <v>823915.58333333337</v>
      </c>
      <c r="F48" s="51">
        <f>Table18791011121314151617181920212223242526272829303132333435363738394041424344484951525354555657585962636465686970713[[#This Row],[Total Pageviews]]/181</f>
        <v>4552.0197974217317</v>
      </c>
      <c r="G48" s="55">
        <f>AVERAGE(G49:G60)</f>
        <v>549402.75</v>
      </c>
      <c r="H48" s="51">
        <f>Table18791011121314151617181920212223242526272829303132333435363738394041424344484951525354555657585962636465686970713[[#This Row],[Total Unique Pageviews]]/181</f>
        <v>3035.3743093922653</v>
      </c>
    </row>
    <row r="49" spans="1:9">
      <c r="A49" s="53">
        <v>3.1</v>
      </c>
      <c r="B49" s="70" t="s">
        <v>179</v>
      </c>
      <c r="C49" s="48" t="str">
        <f t="shared" ref="C49:C62" si="2">TEXT(B70*100, "0.00") &amp; "%"</f>
        <v>61.79%</v>
      </c>
      <c r="D49" s="53" t="str">
        <f t="shared" ref="D49:D55" si="3">TEXT(INT(C70/3600), "00") &amp; ":" &amp; TEXT(INT(MOD(C70, 3600)/60), "00") &amp; ":" &amp; TEXT(MOD(C70, 60), "00")</f>
        <v>00:01:07</v>
      </c>
      <c r="E49">
        <v>1650045</v>
      </c>
      <c r="F49" s="51">
        <f>Table18791011121314151617181920212223242526272829303132333435363738394041424344484951525354555657585962636465686970713[[#This Row],[Total Pageviews]]/181</f>
        <v>9116.2707182320446</v>
      </c>
      <c r="G49">
        <v>883450</v>
      </c>
      <c r="H49" s="51">
        <f>Table18791011121314151617181920212223242526272829303132333435363738394041424344484951525354555657585962636465686970713[[#This Row],[Total Unique Pageviews]]/181</f>
        <v>4880.9392265193374</v>
      </c>
    </row>
    <row r="50" spans="1:9">
      <c r="A50" s="53">
        <v>3.2</v>
      </c>
      <c r="B50" s="71" t="s">
        <v>175</v>
      </c>
      <c r="C50" s="48" t="str">
        <f t="shared" si="2"/>
        <v>30.23%</v>
      </c>
      <c r="D50" s="53" t="str">
        <f t="shared" si="3"/>
        <v>00:01:41</v>
      </c>
      <c r="E50">
        <v>637128</v>
      </c>
      <c r="F50" s="51">
        <f>Table18791011121314151617181920212223242526272829303132333435363738394041424344484951525354555657585962636465686970713[[#This Row],[Total Pageviews]]/181</f>
        <v>3520.0441988950274</v>
      </c>
      <c r="G50">
        <v>424440</v>
      </c>
      <c r="H50" s="51">
        <f>Table18791011121314151617181920212223242526272829303132333435363738394041424344484951525354555657585962636465686970713[[#This Row],[Total Unique Pageviews]]/181</f>
        <v>2344.9723756906078</v>
      </c>
    </row>
    <row r="51" spans="1:9">
      <c r="A51" s="53">
        <v>3.3</v>
      </c>
      <c r="B51" s="72" t="s">
        <v>177</v>
      </c>
      <c r="C51" s="48" t="str">
        <f t="shared" si="2"/>
        <v>14.66%</v>
      </c>
      <c r="D51" s="53" t="str">
        <f t="shared" si="3"/>
        <v>00:01:31</v>
      </c>
      <c r="E51">
        <v>217761</v>
      </c>
      <c r="F51" s="51">
        <f>Table18791011121314151617181920212223242526272829303132333435363738394041424344484951525354555657585962636465686970713[[#This Row],[Total Pageviews]]/181</f>
        <v>1203.0994475138123</v>
      </c>
      <c r="G51">
        <v>154225</v>
      </c>
      <c r="H51" s="51">
        <f>Table18791011121314151617181920212223242526272829303132333435363738394041424344484951525354555657585962636465686970713[[#This Row],[Total Unique Pageviews]]/181</f>
        <v>852.07182320441984</v>
      </c>
    </row>
    <row r="52" spans="1:9">
      <c r="A52" s="53">
        <v>3.4</v>
      </c>
      <c r="B52" s="73" t="s">
        <v>162</v>
      </c>
      <c r="C52" s="48" t="str">
        <f t="shared" si="2"/>
        <v>50.76%</v>
      </c>
      <c r="D52" s="53" t="str">
        <f t="shared" si="3"/>
        <v>00:01:30</v>
      </c>
      <c r="E52">
        <v>836128</v>
      </c>
      <c r="F52" s="51">
        <f>Table18791011121314151617181920212223242526272829303132333435363738394041424344484951525354555657585962636465686970713[[#This Row],[Total Pageviews]]/181</f>
        <v>4619.4917127071822</v>
      </c>
      <c r="G52">
        <v>620144</v>
      </c>
      <c r="H52" s="51">
        <f>Table18791011121314151617181920212223242526272829303132333435363738394041424344484951525354555657585962636465686970713[[#This Row],[Total Unique Pageviews]]/181</f>
        <v>3426.209944751381</v>
      </c>
    </row>
    <row r="53" spans="1:9">
      <c r="A53" s="53">
        <v>3.5</v>
      </c>
      <c r="B53" s="71" t="s">
        <v>174</v>
      </c>
      <c r="C53" s="48" t="str">
        <f t="shared" si="2"/>
        <v>47.89%</v>
      </c>
      <c r="D53" s="53" t="str">
        <f t="shared" si="3"/>
        <v>00:01:14</v>
      </c>
      <c r="E53">
        <v>797073</v>
      </c>
      <c r="F53" s="51">
        <f>Table18791011121314151617181920212223242526272829303132333435363738394041424344484951525354555657585962636465686970713[[#This Row],[Total Pageviews]]/181</f>
        <v>4403.7182320441989</v>
      </c>
      <c r="G53">
        <v>618682</v>
      </c>
      <c r="H53" s="51">
        <f>Table18791011121314151617181920212223242526272829303132333435363738394041424344484951525354555657585962636465686970713[[#This Row],[Total Unique Pageviews]]/181</f>
        <v>3418.1325966850827</v>
      </c>
    </row>
    <row r="54" spans="1:9">
      <c r="A54" s="53">
        <v>3.6</v>
      </c>
      <c r="B54" s="71" t="s">
        <v>199</v>
      </c>
      <c r="C54" s="48" t="str">
        <f t="shared" si="2"/>
        <v>29.55%</v>
      </c>
      <c r="D54" s="53" t="str">
        <f t="shared" si="3"/>
        <v>00:02:57</v>
      </c>
      <c r="E54">
        <v>1163054</v>
      </c>
      <c r="F54" s="51">
        <f>Table18791011121314151617181920212223242526272829303132333435363738394041424344484951525354555657585962636465686970713[[#This Row],[Total Pageviews]]/181</f>
        <v>6425.7127071823206</v>
      </c>
      <c r="G54">
        <v>773757</v>
      </c>
      <c r="H54" s="51">
        <f>Table18791011121314151617181920212223242526272829303132333435363738394041424344484951525354555657585962636465686970713[[#This Row],[Total Unique Pageviews]]/181</f>
        <v>4274.9005524861877</v>
      </c>
    </row>
    <row r="55" spans="1:9">
      <c r="A55" s="53">
        <v>3.7</v>
      </c>
      <c r="B55" s="72" t="s">
        <v>170</v>
      </c>
      <c r="C55" s="48" t="str">
        <f t="shared" si="2"/>
        <v>42.63%</v>
      </c>
      <c r="D55" s="53" t="str">
        <f t="shared" si="3"/>
        <v>00:01:33</v>
      </c>
      <c r="E55">
        <v>685071</v>
      </c>
      <c r="F55" s="51">
        <f>Table18791011121314151617181920212223242526272829303132333435363738394041424344484951525354555657585962636465686970713[[#This Row],[Total Pageviews]]/181</f>
        <v>3784.9226519337017</v>
      </c>
      <c r="G55">
        <v>508069</v>
      </c>
      <c r="H55" s="51">
        <f>Table18791011121314151617181920212223242526272829303132333435363738394041424344484951525354555657585962636465686970713[[#This Row],[Total Unique Pageviews]]/181</f>
        <v>2807.011049723757</v>
      </c>
    </row>
    <row r="56" spans="1:9">
      <c r="A56" s="53">
        <v>3.8</v>
      </c>
      <c r="B56" s="73" t="s">
        <v>200</v>
      </c>
      <c r="C56" s="48" t="str">
        <f t="shared" si="2"/>
        <v>13.87%</v>
      </c>
      <c r="D56" s="53" t="str">
        <f t="shared" ref="D56:D60" si="4">TEXT(INT(C77/3600), "00") &amp; ":" &amp; TEXT(INT(MOD(C77, 3600)/60), "00") &amp; ":" &amp; TEXT(MOD(C77, 60), "00")</f>
        <v>00:01:60</v>
      </c>
      <c r="E56">
        <v>213391</v>
      </c>
      <c r="F56" s="51">
        <f>Table18791011121314151617181920212223242526272829303132333435363738394041424344484951525354555657585962636465686970713[[#This Row],[Total Pageviews]]/181</f>
        <v>1178.9558011049724</v>
      </c>
      <c r="G56">
        <v>155427</v>
      </c>
      <c r="H56" s="51">
        <f>Table18791011121314151617181920212223242526272829303132333435363738394041424344484951525354555657585962636465686970713[[#This Row],[Total Unique Pageviews]]/181</f>
        <v>858.7127071823204</v>
      </c>
    </row>
    <row r="57" spans="1:9">
      <c r="A57" s="53">
        <v>3.9</v>
      </c>
      <c r="B57" s="71" t="s">
        <v>166</v>
      </c>
      <c r="C57" s="48" t="str">
        <f t="shared" si="2"/>
        <v>12.58%</v>
      </c>
      <c r="D57" s="53" t="str">
        <f t="shared" si="4"/>
        <v>00:03:09</v>
      </c>
      <c r="E57">
        <v>207422</v>
      </c>
      <c r="F57" s="51">
        <f>Table18791011121314151617181920212223242526272829303132333435363738394041424344484951525354555657585962636465686970713[[#This Row],[Total Pageviews]]/181</f>
        <v>1145.9779005524863</v>
      </c>
      <c r="G57">
        <v>138467</v>
      </c>
      <c r="H57" s="51">
        <f>Table18791011121314151617181920212223242526272829303132333435363738394041424344484951525354555657585962636465686970713[[#This Row],[Total Unique Pageviews]]/181</f>
        <v>765.01104972375686</v>
      </c>
    </row>
    <row r="58" spans="1:9">
      <c r="A58" s="74">
        <v>3.1</v>
      </c>
      <c r="B58" s="73" t="s">
        <v>201</v>
      </c>
      <c r="C58" s="48" t="str">
        <f t="shared" si="2"/>
        <v>33.17%</v>
      </c>
      <c r="D58" s="53" t="str">
        <f t="shared" si="4"/>
        <v>00:02:08</v>
      </c>
      <c r="E58">
        <v>1145028</v>
      </c>
      <c r="F58" s="51">
        <f>Table18791011121314151617181920212223242526272829303132333435363738394041424344484951525354555657585962636465686970713[[#This Row],[Total Pageviews]]/181</f>
        <v>6326.1215469613262</v>
      </c>
      <c r="G58">
        <v>717938</v>
      </c>
      <c r="H58" s="51">
        <f>Table18791011121314151617181920212223242526272829303132333435363738394041424344484951525354555657585962636465686970713[[#This Row],[Total Unique Pageviews]]/181</f>
        <v>3966.5082872928178</v>
      </c>
    </row>
    <row r="59" spans="1:9">
      <c r="A59" s="74">
        <v>3.11</v>
      </c>
      <c r="B59" s="71" t="s">
        <v>202</v>
      </c>
      <c r="C59" s="48" t="str">
        <f t="shared" si="2"/>
        <v>43.41%</v>
      </c>
      <c r="D59" s="53" t="str">
        <f t="shared" si="4"/>
        <v>00:01:34</v>
      </c>
      <c r="E59">
        <v>780838</v>
      </c>
      <c r="F59" s="51">
        <f>Table18791011121314151617181920212223242526272829303132333435363738394041424344484951525354555657585962636465686970713[[#This Row],[Total Pageviews]]/181</f>
        <v>4314.0220994475139</v>
      </c>
      <c r="G59">
        <v>516815</v>
      </c>
      <c r="H59" s="51">
        <f>Table18791011121314151617181920212223242526272829303132333435363738394041424344484951525354555657585962636465686970713[[#This Row],[Total Unique Pageviews]]/181</f>
        <v>2855.3314917127072</v>
      </c>
    </row>
    <row r="60" spans="1:9">
      <c r="A60" s="74">
        <v>3.12</v>
      </c>
      <c r="B60" s="71" t="s">
        <v>181</v>
      </c>
      <c r="C60" s="48" t="str">
        <f t="shared" si="2"/>
        <v>60.08%</v>
      </c>
      <c r="D60" s="53" t="str">
        <f t="shared" si="4"/>
        <v>00:01:19</v>
      </c>
      <c r="E60">
        <v>1554048</v>
      </c>
      <c r="F60" s="51">
        <f>Table18791011121314151617181920212223242526272829303132333435363738394041424344484951525354555657585962636465686970713[[#This Row],[Total Pageviews]]/181</f>
        <v>8585.9005524861877</v>
      </c>
      <c r="G60">
        <v>1081419</v>
      </c>
      <c r="H60" s="51">
        <f>Table18791011121314151617181920212223242526272829303132333435363738394041424344484951525354555657585962636465686970713[[#This Row],[Total Unique Pageviews]]/181</f>
        <v>5974.6906077348067</v>
      </c>
    </row>
    <row r="61" spans="1:9">
      <c r="A61" s="53">
        <v>4</v>
      </c>
      <c r="B61" s="69" t="s">
        <v>203</v>
      </c>
      <c r="C61" s="48" t="str">
        <f t="shared" si="2"/>
        <v>6.25%</v>
      </c>
      <c r="D61" s="53" t="str">
        <f>TEXT(INT(C82/3600), "00") &amp; ":" &amp; TEXT(INT(MOD(C82, 3600)/60), "00") &amp; ":" &amp; TEXT(MOD(C82, 60), "00")</f>
        <v>00:01:03</v>
      </c>
      <c r="E61">
        <v>45109</v>
      </c>
      <c r="F61" s="51">
        <f>Table18791011121314151617181920212223242526272829303132333435363738394041424344484951525354555657585962636465686970713[[#This Row],[Total Pageviews]]/181</f>
        <v>249.22099447513813</v>
      </c>
      <c r="G61">
        <v>32695</v>
      </c>
      <c r="H61" s="51">
        <f>Table18791011121314151617181920212223242526272829303132333435363738394041424344484951525354555657585962636465686970713[[#This Row],[Total Unique Pageviews]]/181</f>
        <v>180.6353591160221</v>
      </c>
    </row>
    <row r="62" spans="1:9">
      <c r="A62" s="53">
        <v>5</v>
      </c>
      <c r="B62" s="69" t="s">
        <v>204</v>
      </c>
      <c r="C62" s="48" t="str">
        <f t="shared" si="2"/>
        <v>33.33%</v>
      </c>
      <c r="D62" s="53" t="str">
        <f>TEXT(INT(C83/3600), "00") &amp; ":" &amp; TEXT(INT(MOD(C83, 3600)/60), "00") &amp; ":" &amp; TEXT(MOD(C83, 60), "00")</f>
        <v>00:00:26</v>
      </c>
      <c r="E62">
        <v>3</v>
      </c>
      <c r="F62" s="51">
        <f>Table18791011121314151617181920212223242526272829303132333435363738394041424344484951525354555657585962636465686970713[[#This Row],[Total Pageviews]]/181</f>
        <v>1.6574585635359115E-2</v>
      </c>
      <c r="G62">
        <v>3</v>
      </c>
      <c r="H62" s="51">
        <f>Table18791011121314151617181920212223242526272829303132333435363738394041424344484951525354555657585962636465686970713[[#This Row],[Total Unique Pageviews]]/181</f>
        <v>1.6574585635359115E-2</v>
      </c>
    </row>
    <row r="63" spans="1:9">
      <c r="B63" s="8"/>
      <c r="G63" s="44"/>
      <c r="I63" s="45"/>
    </row>
    <row r="64" spans="1:9">
      <c r="G64" s="44"/>
      <c r="I64" s="45"/>
    </row>
    <row r="65" spans="1:9">
      <c r="G65" s="44"/>
      <c r="I65" s="45"/>
    </row>
    <row r="66" spans="1:9">
      <c r="G66" s="44"/>
      <c r="I66" s="45"/>
    </row>
    <row r="67" spans="1:9">
      <c r="G67" s="44"/>
      <c r="I67" s="45"/>
    </row>
    <row r="68" spans="1:9" ht="15">
      <c r="A68" s="65" t="s">
        <v>205</v>
      </c>
      <c r="B68" s="65" t="s">
        <v>206</v>
      </c>
      <c r="C68" s="65" t="s">
        <v>207</v>
      </c>
      <c r="D68" s="65" t="s">
        <v>156</v>
      </c>
      <c r="E68" s="65" t="s">
        <v>208</v>
      </c>
      <c r="G68" s="44" t="s">
        <v>209</v>
      </c>
      <c r="I68" s="45"/>
    </row>
    <row r="69" spans="1:9">
      <c r="A69" t="s">
        <v>56</v>
      </c>
      <c r="B69">
        <v>0.26562599793562502</v>
      </c>
      <c r="C69">
        <v>70.163934545505796</v>
      </c>
      <c r="D69">
        <v>2535514</v>
      </c>
      <c r="E69">
        <v>1482436</v>
      </c>
      <c r="G69" s="75"/>
      <c r="I69" s="45"/>
    </row>
    <row r="70" spans="1:9">
      <c r="A70" t="s">
        <v>210</v>
      </c>
      <c r="B70">
        <v>0.61794855483376498</v>
      </c>
      <c r="C70">
        <v>67.0106250355214</v>
      </c>
      <c r="D70">
        <v>1650045</v>
      </c>
      <c r="E70">
        <v>883450</v>
      </c>
      <c r="G70" s="75">
        <v>61.79</v>
      </c>
      <c r="I70" s="45"/>
    </row>
    <row r="71" spans="1:9">
      <c r="A71" t="s">
        <v>225</v>
      </c>
      <c r="B71">
        <v>0.30231278392681499</v>
      </c>
      <c r="C71">
        <v>101.466677855505</v>
      </c>
      <c r="D71">
        <v>637128</v>
      </c>
      <c r="E71">
        <v>424440</v>
      </c>
      <c r="G71" s="75">
        <v>30.23</v>
      </c>
      <c r="I71" s="45"/>
    </row>
    <row r="72" spans="1:9">
      <c r="A72" t="s">
        <v>212</v>
      </c>
      <c r="B72">
        <v>0.146581367453018</v>
      </c>
      <c r="C72">
        <v>90.797971311379399</v>
      </c>
      <c r="D72">
        <v>217761</v>
      </c>
      <c r="E72">
        <v>154225</v>
      </c>
      <c r="G72" s="75">
        <v>14.66</v>
      </c>
      <c r="I72" s="45"/>
    </row>
    <row r="73" spans="1:9">
      <c r="A73" t="s">
        <v>213</v>
      </c>
      <c r="B73">
        <v>0.50763317973597399</v>
      </c>
      <c r="C73">
        <v>89.826354202335693</v>
      </c>
      <c r="D73">
        <v>836128</v>
      </c>
      <c r="E73">
        <v>620144</v>
      </c>
      <c r="G73" s="75">
        <v>50.76</v>
      </c>
      <c r="I73" s="45"/>
    </row>
    <row r="74" spans="1:9">
      <c r="A74" t="s">
        <v>214</v>
      </c>
      <c r="B74">
        <v>0.47887118943360302</v>
      </c>
      <c r="C74">
        <v>74.111230576377395</v>
      </c>
      <c r="D74">
        <v>797073</v>
      </c>
      <c r="E74">
        <v>618682</v>
      </c>
      <c r="G74" s="75">
        <v>47.89</v>
      </c>
      <c r="I74" s="45"/>
    </row>
    <row r="75" spans="1:9">
      <c r="A75" t="s">
        <v>215</v>
      </c>
      <c r="B75">
        <v>0.29551168792341298</v>
      </c>
      <c r="C75">
        <v>176.97424964385999</v>
      </c>
      <c r="D75">
        <v>1163054</v>
      </c>
      <c r="E75">
        <v>773757</v>
      </c>
      <c r="G75" s="75">
        <v>29.55</v>
      </c>
      <c r="I75" s="45"/>
    </row>
    <row r="76" spans="1:9">
      <c r="A76" t="s">
        <v>216</v>
      </c>
      <c r="B76">
        <v>0.42625151997807798</v>
      </c>
      <c r="C76">
        <v>92.553056478800798</v>
      </c>
      <c r="D76">
        <v>685071</v>
      </c>
      <c r="E76">
        <v>508069</v>
      </c>
      <c r="G76" s="75">
        <v>42.63</v>
      </c>
      <c r="I76" s="45"/>
    </row>
    <row r="77" spans="1:9">
      <c r="A77" t="s">
        <v>217</v>
      </c>
      <c r="B77">
        <v>0.13872642160349</v>
      </c>
      <c r="C77">
        <v>119.85219955200699</v>
      </c>
      <c r="D77">
        <v>213391</v>
      </c>
      <c r="E77">
        <v>155427</v>
      </c>
      <c r="G77" s="75">
        <v>13.87</v>
      </c>
      <c r="I77" s="45"/>
    </row>
    <row r="78" spans="1:9">
      <c r="A78" t="s">
        <v>218</v>
      </c>
      <c r="B78">
        <v>0.12584645728117599</v>
      </c>
      <c r="C78">
        <v>189.23506693071701</v>
      </c>
      <c r="D78">
        <v>207422</v>
      </c>
      <c r="E78">
        <v>138467</v>
      </c>
      <c r="G78" s="75">
        <v>12.58</v>
      </c>
      <c r="I78" s="45"/>
    </row>
    <row r="79" spans="1:9">
      <c r="A79" t="s">
        <v>219</v>
      </c>
      <c r="B79">
        <v>0.33168423988377899</v>
      </c>
      <c r="C79">
        <v>128.44243037640899</v>
      </c>
      <c r="D79">
        <v>1145028</v>
      </c>
      <c r="E79">
        <v>717938</v>
      </c>
      <c r="G79" s="75">
        <v>33.17</v>
      </c>
      <c r="I79" s="45"/>
    </row>
    <row r="80" spans="1:9">
      <c r="A80" t="s">
        <v>220</v>
      </c>
      <c r="B80">
        <v>0.43411649153440801</v>
      </c>
      <c r="C80">
        <v>94.242152168947001</v>
      </c>
      <c r="D80">
        <v>780838</v>
      </c>
      <c r="E80">
        <v>516815</v>
      </c>
      <c r="G80" s="75">
        <v>43.41</v>
      </c>
      <c r="I80" s="45"/>
    </row>
    <row r="81" spans="1:9">
      <c r="A81" t="s">
        <v>221</v>
      </c>
      <c r="B81">
        <v>0.60078257401686097</v>
      </c>
      <c r="C81">
        <v>79.329034316036498</v>
      </c>
      <c r="D81">
        <v>1554048</v>
      </c>
      <c r="E81">
        <v>1081419</v>
      </c>
      <c r="G81" s="44">
        <v>60.08</v>
      </c>
      <c r="I81" s="45"/>
    </row>
    <row r="82" spans="1:9">
      <c r="A82" t="s">
        <v>80</v>
      </c>
      <c r="B82">
        <v>6.2493242512704002E-2</v>
      </c>
      <c r="C82">
        <v>63.184557392528902</v>
      </c>
      <c r="D82">
        <v>45109</v>
      </c>
      <c r="E82">
        <v>32695</v>
      </c>
      <c r="G82" s="44">
        <v>6.25</v>
      </c>
      <c r="I82" s="45"/>
    </row>
    <row r="83" spans="1:9">
      <c r="A83" t="s">
        <v>239</v>
      </c>
      <c r="B83">
        <v>0.33333333333333298</v>
      </c>
      <c r="C83">
        <v>26.376421333333301</v>
      </c>
      <c r="D83">
        <v>3</v>
      </c>
      <c r="E83">
        <v>3</v>
      </c>
      <c r="G83" s="44">
        <v>33.33</v>
      </c>
      <c r="I83" s="45"/>
    </row>
    <row r="84" spans="1:9">
      <c r="G84" s="44"/>
      <c r="I84" s="45"/>
    </row>
    <row r="85" spans="1:9">
      <c r="C85">
        <f>AVERAGE(C70:C81)</f>
        <v>108.65342070399136</v>
      </c>
      <c r="G85" s="44"/>
      <c r="I85" s="45"/>
    </row>
    <row r="86" spans="1:9">
      <c r="G86" s="44"/>
      <c r="I86" s="45"/>
    </row>
    <row r="106" spans="7:10" ht="15">
      <c r="G106" s="282">
        <v>258110</v>
      </c>
      <c r="H106" s="87" t="s">
        <v>344</v>
      </c>
      <c r="I106" t="e">
        <f>H106/G106</f>
        <v>#VALUE!</v>
      </c>
    </row>
    <row r="107" spans="7:10">
      <c r="G107">
        <v>258110</v>
      </c>
      <c r="H107">
        <v>160598</v>
      </c>
      <c r="I107">
        <f>H107/G107</f>
        <v>0.62220758591298286</v>
      </c>
      <c r="J107">
        <f>I107/60</f>
        <v>1.0370126431883047E-2</v>
      </c>
    </row>
  </sheetData>
  <mergeCells count="1">
    <mergeCell ref="A1:I3"/>
  </mergeCells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12"/>
  <sheetViews>
    <sheetView tabSelected="1" topLeftCell="A85" zoomScale="75" zoomScaleNormal="75" workbookViewId="0">
      <selection activeCell="K127" sqref="A1:XFD1048576"/>
    </sheetView>
  </sheetViews>
  <sheetFormatPr defaultRowHeight="12.75"/>
  <cols>
    <col min="1" max="1" width="28.42578125" customWidth="1"/>
    <col min="2" max="2" width="17.7109375" style="12" customWidth="1"/>
    <col min="4" max="4" width="31.7109375" bestFit="1" customWidth="1"/>
    <col min="5" max="5" width="28" customWidth="1"/>
    <col min="6" max="6" width="14.140625" customWidth="1"/>
    <col min="8" max="8" width="24.85546875" bestFit="1" customWidth="1"/>
    <col min="9" max="9" width="19.5703125" customWidth="1"/>
    <col min="10" max="10" width="25.140625" bestFit="1" customWidth="1"/>
    <col min="15" max="15" width="18" bestFit="1" customWidth="1"/>
    <col min="16" max="16" width="25.140625" bestFit="1" customWidth="1"/>
    <col min="17" max="17" width="17.28515625" customWidth="1"/>
    <col min="21" max="21" width="10.28515625" bestFit="1" customWidth="1"/>
  </cols>
  <sheetData>
    <row r="1" spans="1:21">
      <c r="A1" s="534" t="s">
        <v>14</v>
      </c>
      <c r="B1" s="535" t="s">
        <v>0</v>
      </c>
      <c r="C1" s="11"/>
      <c r="D1" s="6"/>
      <c r="E1" s="6"/>
    </row>
    <row r="2" spans="1:21" ht="18">
      <c r="A2" s="530" t="s">
        <v>21</v>
      </c>
      <c r="B2" s="530">
        <v>19843</v>
      </c>
      <c r="C2" s="15"/>
      <c r="D2" s="15"/>
      <c r="E2" s="15"/>
    </row>
    <row r="3" spans="1:21" ht="18.75" customHeight="1">
      <c r="A3" s="530" t="s">
        <v>28</v>
      </c>
      <c r="B3" s="530">
        <v>15560</v>
      </c>
      <c r="C3" s="15"/>
      <c r="D3" s="15"/>
      <c r="E3" s="15"/>
    </row>
    <row r="4" spans="1:21" ht="18">
      <c r="A4" s="530" t="s">
        <v>94</v>
      </c>
      <c r="B4" s="530">
        <v>15256</v>
      </c>
      <c r="C4" s="15"/>
      <c r="E4" s="1"/>
    </row>
    <row r="5" spans="1:21" ht="18">
      <c r="A5" s="530" t="s">
        <v>29</v>
      </c>
      <c r="B5" s="530">
        <v>14535</v>
      </c>
      <c r="C5" s="15"/>
      <c r="E5" s="1"/>
    </row>
    <row r="6" spans="1:21" ht="23.25">
      <c r="A6" s="530" t="s">
        <v>19</v>
      </c>
      <c r="B6" s="530">
        <v>9640</v>
      </c>
      <c r="C6" s="15"/>
      <c r="E6" s="1"/>
      <c r="T6" s="532"/>
      <c r="U6" s="533"/>
    </row>
    <row r="7" spans="1:21" ht="18.75" customHeight="1">
      <c r="A7" s="530" t="s">
        <v>20</v>
      </c>
      <c r="B7" s="530">
        <v>8309</v>
      </c>
      <c r="C7" s="15"/>
      <c r="E7" s="1"/>
    </row>
    <row r="8" spans="1:21" ht="23.25">
      <c r="A8" s="530" t="s">
        <v>6</v>
      </c>
      <c r="B8" s="530">
        <v>7741</v>
      </c>
      <c r="C8" s="15"/>
      <c r="E8" s="1"/>
      <c r="T8" s="532"/>
      <c r="U8" s="533"/>
    </row>
    <row r="9" spans="1:21" ht="23.25">
      <c r="A9" s="530" t="s">
        <v>7</v>
      </c>
      <c r="B9" s="530">
        <v>7534</v>
      </c>
      <c r="C9" s="15"/>
      <c r="E9" s="1"/>
      <c r="T9" s="532"/>
      <c r="U9" s="533"/>
    </row>
    <row r="10" spans="1:21" ht="18">
      <c r="A10" s="530" t="s">
        <v>228</v>
      </c>
      <c r="B10" s="530">
        <v>7417</v>
      </c>
      <c r="C10" s="15"/>
      <c r="E10" s="1"/>
    </row>
    <row r="11" spans="1:21" ht="23.25">
      <c r="A11" s="530" t="s">
        <v>229</v>
      </c>
      <c r="B11" s="530">
        <v>6283</v>
      </c>
      <c r="C11" s="15"/>
      <c r="E11" s="1"/>
      <c r="T11" s="532"/>
      <c r="U11" s="533"/>
    </row>
    <row r="12" spans="1:21" ht="23.25">
      <c r="A12" s="530" t="s">
        <v>473</v>
      </c>
      <c r="B12" s="530">
        <v>4750</v>
      </c>
      <c r="C12" s="15"/>
      <c r="E12" s="1"/>
      <c r="T12" s="532"/>
      <c r="U12" s="533"/>
    </row>
    <row r="13" spans="1:21" ht="23.25">
      <c r="A13" s="530" t="s">
        <v>27</v>
      </c>
      <c r="B13" s="530">
        <v>4289</v>
      </c>
      <c r="C13" s="15"/>
      <c r="E13" s="1"/>
      <c r="T13" s="532"/>
      <c r="U13" s="533"/>
    </row>
    <row r="14" spans="1:21" ht="23.25">
      <c r="A14" s="530" t="s">
        <v>230</v>
      </c>
      <c r="B14" s="530">
        <v>4256</v>
      </c>
      <c r="C14" s="15"/>
      <c r="D14" s="15"/>
      <c r="E14" s="15"/>
      <c r="T14" s="532"/>
      <c r="U14" s="533"/>
    </row>
    <row r="15" spans="1:21" ht="23.25">
      <c r="A15" s="530" t="s">
        <v>453</v>
      </c>
      <c r="B15" s="530">
        <v>4178</v>
      </c>
      <c r="C15" s="15"/>
      <c r="D15" s="15"/>
      <c r="E15" s="15"/>
      <c r="T15" s="532"/>
      <c r="U15" s="533"/>
    </row>
    <row r="16" spans="1:21" ht="18.75" customHeight="1">
      <c r="A16" s="530" t="s">
        <v>47</v>
      </c>
      <c r="B16" s="530">
        <v>3602</v>
      </c>
      <c r="C16" s="15"/>
      <c r="D16" s="15"/>
      <c r="E16" s="15"/>
    </row>
    <row r="17" spans="1:2" ht="13.5" customHeight="1">
      <c r="A17" s="530" t="s">
        <v>454</v>
      </c>
      <c r="B17" s="530">
        <v>3498</v>
      </c>
    </row>
    <row r="18" spans="1:2" ht="24" customHeight="1">
      <c r="A18" s="530" t="s">
        <v>91</v>
      </c>
      <c r="B18" s="530">
        <v>3015</v>
      </c>
    </row>
    <row r="19" spans="1:2" ht="24" customHeight="1">
      <c r="A19" s="530" t="s">
        <v>10</v>
      </c>
      <c r="B19" s="531"/>
    </row>
    <row r="20" spans="1:2" ht="24" customHeight="1">
      <c r="A20" s="530" t="s">
        <v>94</v>
      </c>
      <c r="B20" s="536"/>
    </row>
    <row r="21" spans="1:2" ht="23.25">
      <c r="A21" s="530" t="s">
        <v>23</v>
      </c>
      <c r="B21" s="537"/>
    </row>
    <row r="22" spans="1:2" ht="24" customHeight="1">
      <c r="A22" s="530" t="s">
        <v>9</v>
      </c>
      <c r="B22" s="538"/>
    </row>
    <row r="23" spans="1:2" ht="24" customHeight="1">
      <c r="A23" s="530" t="s">
        <v>27</v>
      </c>
      <c r="B23" s="538"/>
    </row>
    <row r="24" spans="1:2" ht="24" customHeight="1">
      <c r="A24" s="530" t="s">
        <v>71</v>
      </c>
      <c r="B24" s="538"/>
    </row>
    <row r="25" spans="1:2" ht="24" customHeight="1">
      <c r="A25" s="530" t="s">
        <v>8</v>
      </c>
      <c r="B25" s="538"/>
    </row>
    <row r="26" spans="1:2" ht="24" customHeight="1">
      <c r="A26" s="530" t="s">
        <v>8</v>
      </c>
      <c r="B26" s="537"/>
    </row>
    <row r="27" spans="1:2" ht="24" customHeight="1">
      <c r="A27" s="530" t="s">
        <v>39</v>
      </c>
      <c r="B27" s="538"/>
    </row>
    <row r="28" spans="1:2" ht="24" customHeight="1">
      <c r="A28" s="530" t="s">
        <v>91</v>
      </c>
      <c r="B28" s="539"/>
    </row>
    <row r="29" spans="1:2" ht="24" customHeight="1">
      <c r="A29" s="530" t="s">
        <v>91</v>
      </c>
      <c r="B29" s="538"/>
    </row>
    <row r="30" spans="1:2" ht="24" customHeight="1">
      <c r="A30" s="530" t="s">
        <v>95</v>
      </c>
      <c r="B30" s="538"/>
    </row>
    <row r="31" spans="1:2" ht="15" customHeight="1">
      <c r="A31" s="530" t="s">
        <v>47</v>
      </c>
      <c r="B31" s="538"/>
    </row>
    <row r="32" spans="1:2" ht="14.25">
      <c r="A32" s="530" t="s">
        <v>32</v>
      </c>
      <c r="B32" s="538"/>
    </row>
    <row r="33" spans="1:2" ht="21.75" customHeight="1">
      <c r="A33" s="530" t="s">
        <v>96</v>
      </c>
      <c r="B33" s="540"/>
    </row>
    <row r="34" spans="1:2" ht="14.25">
      <c r="A34" s="530" t="s">
        <v>97</v>
      </c>
      <c r="B34" s="541"/>
    </row>
    <row r="35" spans="1:2" ht="14.25">
      <c r="A35" s="530" t="s">
        <v>38</v>
      </c>
      <c r="B35" s="541"/>
    </row>
    <row r="36" spans="1:2" ht="21.75" customHeight="1">
      <c r="A36" s="530" t="s">
        <v>98</v>
      </c>
      <c r="B36" s="537"/>
    </row>
    <row r="37" spans="1:2" ht="14.25">
      <c r="A37" s="530" t="s">
        <v>41</v>
      </c>
      <c r="B37" s="538"/>
    </row>
    <row r="38" spans="1:2" ht="18">
      <c r="A38" s="530" t="s">
        <v>99</v>
      </c>
      <c r="B38" s="542"/>
    </row>
    <row r="39" spans="1:2" ht="14.25">
      <c r="A39" s="530" t="s">
        <v>5</v>
      </c>
      <c r="B39" s="541"/>
    </row>
    <row r="40" spans="1:2" ht="14.25">
      <c r="A40" s="530" t="s">
        <v>78</v>
      </c>
      <c r="B40" s="541"/>
    </row>
    <row r="41" spans="1:2" ht="14.25">
      <c r="A41" s="530" t="s">
        <v>75</v>
      </c>
      <c r="B41" s="541"/>
    </row>
    <row r="42" spans="1:2" ht="14.25">
      <c r="A42" s="530" t="s">
        <v>13</v>
      </c>
      <c r="B42" s="541"/>
    </row>
    <row r="43" spans="1:2" ht="14.25">
      <c r="A43" s="530" t="s">
        <v>68</v>
      </c>
      <c r="B43" s="541"/>
    </row>
    <row r="44" spans="1:2" ht="21.75" customHeight="1">
      <c r="A44" s="530" t="s">
        <v>11</v>
      </c>
      <c r="B44" s="537"/>
    </row>
    <row r="45" spans="1:2" ht="14.25">
      <c r="A45" s="530" t="s">
        <v>90</v>
      </c>
      <c r="B45" s="541"/>
    </row>
    <row r="46" spans="1:2" ht="21.75" customHeight="1">
      <c r="A46" s="530" t="s">
        <v>100</v>
      </c>
      <c r="B46" s="537"/>
    </row>
    <row r="47" spans="1:2">
      <c r="A47" s="530" t="s">
        <v>62</v>
      </c>
      <c r="B47" s="535"/>
    </row>
    <row r="48" spans="1:2" ht="14.25">
      <c r="A48" s="530" t="s">
        <v>101</v>
      </c>
      <c r="B48" s="541"/>
    </row>
    <row r="49" spans="1:2" ht="14.25">
      <c r="A49" s="530" t="s">
        <v>65</v>
      </c>
      <c r="B49" s="541"/>
    </row>
    <row r="50" spans="1:2" ht="14.25">
      <c r="A50" s="530" t="s">
        <v>45</v>
      </c>
      <c r="B50" s="541"/>
    </row>
    <row r="51" spans="1:2" ht="14.25">
      <c r="A51" s="530" t="s">
        <v>25</v>
      </c>
      <c r="B51" s="541"/>
    </row>
    <row r="52" spans="1:2" ht="14.25">
      <c r="A52" s="530" t="s">
        <v>70</v>
      </c>
      <c r="B52" s="541"/>
    </row>
    <row r="53" spans="1:2" ht="14.25">
      <c r="A53" s="530" t="s">
        <v>102</v>
      </c>
      <c r="B53" s="541"/>
    </row>
    <row r="54" spans="1:2" ht="14.25">
      <c r="A54" s="530" t="s">
        <v>103</v>
      </c>
      <c r="B54" s="541"/>
    </row>
    <row r="55" spans="1:2" ht="18">
      <c r="A55" s="530" t="s">
        <v>40</v>
      </c>
      <c r="B55" s="539"/>
    </row>
    <row r="56" spans="1:2" ht="14.25">
      <c r="A56" s="530" t="s">
        <v>22</v>
      </c>
      <c r="B56" s="541"/>
    </row>
    <row r="57" spans="1:2" ht="18">
      <c r="A57" s="530" t="s">
        <v>37</v>
      </c>
      <c r="B57" s="539"/>
    </row>
    <row r="58" spans="1:2" ht="14.25">
      <c r="A58" s="530" t="s">
        <v>77</v>
      </c>
      <c r="B58" s="541"/>
    </row>
    <row r="59" spans="1:2">
      <c r="A59" s="530" t="s">
        <v>34</v>
      </c>
      <c r="B59" s="535"/>
    </row>
    <row r="60" spans="1:2" ht="14.25">
      <c r="A60" s="530" t="s">
        <v>33</v>
      </c>
      <c r="B60" s="541"/>
    </row>
    <row r="61" spans="1:2" ht="18">
      <c r="A61" s="530" t="s">
        <v>36</v>
      </c>
      <c r="B61" s="539"/>
    </row>
    <row r="62" spans="1:2" ht="14.25">
      <c r="A62" s="530" t="s">
        <v>31</v>
      </c>
      <c r="B62" s="541"/>
    </row>
    <row r="63" spans="1:2" ht="18">
      <c r="A63" s="530" t="s">
        <v>49</v>
      </c>
      <c r="B63" s="539"/>
    </row>
    <row r="64" spans="1:2">
      <c r="A64" s="530" t="s">
        <v>104</v>
      </c>
      <c r="B64" s="535"/>
    </row>
    <row r="65" spans="1:2">
      <c r="A65" s="530" t="s">
        <v>73</v>
      </c>
      <c r="B65" s="535"/>
    </row>
    <row r="66" spans="1:2" ht="14.25">
      <c r="A66" s="530" t="s">
        <v>105</v>
      </c>
      <c r="B66" s="541"/>
    </row>
    <row r="67" spans="1:2" ht="14.25">
      <c r="A67" s="530" t="s">
        <v>106</v>
      </c>
      <c r="B67" s="541"/>
    </row>
    <row r="68" spans="1:2">
      <c r="A68" s="530" t="s">
        <v>24</v>
      </c>
      <c r="B68" s="535"/>
    </row>
    <row r="69" spans="1:2">
      <c r="A69" s="530" t="s">
        <v>107</v>
      </c>
      <c r="B69" s="535"/>
    </row>
    <row r="70" spans="1:2" ht="14.25">
      <c r="A70" s="530" t="s">
        <v>3</v>
      </c>
      <c r="B70" s="541"/>
    </row>
    <row r="71" spans="1:2" ht="14.25">
      <c r="A71" s="530" t="s">
        <v>60</v>
      </c>
      <c r="B71" s="541"/>
    </row>
    <row r="72" spans="1:2" ht="14.25">
      <c r="A72" s="530" t="s">
        <v>87</v>
      </c>
      <c r="B72" s="541"/>
    </row>
    <row r="73" spans="1:2" ht="14.25">
      <c r="A73" s="530" t="s">
        <v>35</v>
      </c>
      <c r="B73" s="541"/>
    </row>
    <row r="74" spans="1:2" ht="14.25">
      <c r="A74" s="530" t="s">
        <v>48</v>
      </c>
      <c r="B74" s="541"/>
    </row>
    <row r="75" spans="1:2" ht="14.25">
      <c r="A75" s="530" t="s">
        <v>69</v>
      </c>
      <c r="B75" s="541"/>
    </row>
    <row r="76" spans="1:2" ht="14.25">
      <c r="A76" s="530" t="s">
        <v>86</v>
      </c>
      <c r="B76" s="541"/>
    </row>
    <row r="77" spans="1:2" ht="14.25">
      <c r="A77" s="530" t="s">
        <v>50</v>
      </c>
      <c r="B77" s="541"/>
    </row>
    <row r="78" spans="1:2" ht="14.25">
      <c r="A78" s="530" t="s">
        <v>61</v>
      </c>
      <c r="B78" s="541"/>
    </row>
    <row r="79" spans="1:2" ht="14.25">
      <c r="A79" s="530" t="s">
        <v>88</v>
      </c>
      <c r="B79" s="541"/>
    </row>
    <row r="80" spans="1:2" ht="14.25">
      <c r="A80" s="530" t="s">
        <v>108</v>
      </c>
      <c r="B80" s="541"/>
    </row>
    <row r="81" spans="1:2" ht="14.25">
      <c r="A81" s="530" t="s">
        <v>46</v>
      </c>
      <c r="B81" s="541"/>
    </row>
    <row r="82" spans="1:2" ht="19.5" customHeight="1">
      <c r="A82" s="530" t="s">
        <v>44</v>
      </c>
      <c r="B82" s="541"/>
    </row>
    <row r="83" spans="1:2" ht="19.5" customHeight="1">
      <c r="A83" s="530" t="s">
        <v>43</v>
      </c>
      <c r="B83" s="537"/>
    </row>
    <row r="84" spans="1:2" ht="19.5" customHeight="1">
      <c r="A84" s="530" t="s">
        <v>109</v>
      </c>
      <c r="B84" s="541"/>
    </row>
    <row r="85" spans="1:2" ht="12.75" customHeight="1">
      <c r="A85" s="530" t="s">
        <v>110</v>
      </c>
      <c r="B85" s="537"/>
    </row>
    <row r="86" spans="1:2" ht="14.25">
      <c r="A86" s="530" t="s">
        <v>72</v>
      </c>
      <c r="B86" s="541"/>
    </row>
    <row r="87" spans="1:2" ht="14.25">
      <c r="A87" s="530" t="s">
        <v>85</v>
      </c>
      <c r="B87" s="541"/>
    </row>
    <row r="88" spans="1:2" ht="14.25">
      <c r="A88" s="530" t="s">
        <v>111</v>
      </c>
      <c r="B88" s="541"/>
    </row>
    <row r="89" spans="1:2" ht="14.25">
      <c r="A89" s="530" t="s">
        <v>42</v>
      </c>
      <c r="B89" s="541"/>
    </row>
    <row r="90" spans="1:2">
      <c r="A90" s="530" t="s">
        <v>112</v>
      </c>
      <c r="B90" s="535"/>
    </row>
    <row r="91" spans="1:2" ht="14.25">
      <c r="A91" s="530" t="s">
        <v>64</v>
      </c>
      <c r="B91" s="541"/>
    </row>
    <row r="92" spans="1:2">
      <c r="A92" s="530" t="s">
        <v>66</v>
      </c>
      <c r="B92" s="535"/>
    </row>
    <row r="93" spans="1:2">
      <c r="A93" s="530" t="s">
        <v>74</v>
      </c>
      <c r="B93" s="535"/>
    </row>
    <row r="94" spans="1:2">
      <c r="A94" s="530" t="s">
        <v>113</v>
      </c>
      <c r="B94" s="535"/>
    </row>
    <row r="95" spans="1:2">
      <c r="A95" s="530" t="s">
        <v>114</v>
      </c>
      <c r="B95" s="535"/>
    </row>
    <row r="96" spans="1:2">
      <c r="A96" s="530" t="s">
        <v>115</v>
      </c>
      <c r="B96" s="535"/>
    </row>
    <row r="97" spans="1:2">
      <c r="A97" s="530" t="s">
        <v>116</v>
      </c>
      <c r="B97" s="535"/>
    </row>
    <row r="98" spans="1:2">
      <c r="A98" s="530" t="s">
        <v>117</v>
      </c>
      <c r="B98" s="535"/>
    </row>
    <row r="99" spans="1:2">
      <c r="A99" s="530" t="s">
        <v>76</v>
      </c>
      <c r="B99" s="535"/>
    </row>
    <row r="100" spans="1:2">
      <c r="A100" s="530" t="s">
        <v>63</v>
      </c>
      <c r="B100" s="535"/>
    </row>
    <row r="101" spans="1:2">
      <c r="A101" s="530" t="s">
        <v>67</v>
      </c>
      <c r="B101" s="535"/>
    </row>
    <row r="102" spans="1:2">
      <c r="A102" s="530" t="s">
        <v>118</v>
      </c>
      <c r="B102" s="535"/>
    </row>
    <row r="103" spans="1:2">
      <c r="A103" s="530" t="s">
        <v>119</v>
      </c>
      <c r="B103" s="535"/>
    </row>
    <row r="104" spans="1:2">
      <c r="A104" s="530" t="s">
        <v>89</v>
      </c>
      <c r="B104" s="535"/>
    </row>
    <row r="105" spans="1:2">
      <c r="A105" s="530" t="s">
        <v>79</v>
      </c>
      <c r="B105" s="535"/>
    </row>
    <row r="106" spans="1:2">
      <c r="A106" s="530" t="s">
        <v>120</v>
      </c>
      <c r="B106" s="535"/>
    </row>
    <row r="107" spans="1:2">
      <c r="A107" s="530" t="s">
        <v>4</v>
      </c>
      <c r="B107" s="535"/>
    </row>
    <row r="108" spans="1:2">
      <c r="A108" s="530" t="s">
        <v>121</v>
      </c>
      <c r="B108" s="535"/>
    </row>
    <row r="109" spans="1:2">
      <c r="A109" s="530" t="s">
        <v>30</v>
      </c>
      <c r="B109" s="535"/>
    </row>
    <row r="110" spans="1:2">
      <c r="A110" s="530" t="s">
        <v>122</v>
      </c>
      <c r="B110" s="535"/>
    </row>
    <row r="111" spans="1:2">
      <c r="A111" s="530" t="s">
        <v>12</v>
      </c>
      <c r="B111" s="535"/>
    </row>
    <row r="112" spans="1:2">
      <c r="A112" s="530" t="s">
        <v>123</v>
      </c>
      <c r="B112" s="535"/>
    </row>
  </sheetData>
  <sortState xmlns:xlrd2="http://schemas.microsoft.com/office/spreadsheetml/2017/richdata2" ref="A2:B91">
    <sortCondition descending="1" ref="B2:B91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MoM-Growth</vt:lpstr>
      <vt:lpstr>tbltransaction-organic</vt:lpstr>
      <vt:lpstr>tbltransaction-paid</vt:lpstr>
      <vt:lpstr>users-and-bounce-rate</vt:lpstr>
      <vt:lpstr>productsbouncerate</vt:lpstr>
      <vt:lpstr>Site - Month Graph</vt:lpstr>
      <vt:lpstr>No of Visitors</vt:lpstr>
      <vt:lpstr>Online Requests Trends</vt:lpstr>
      <vt:lpstr>Brochure And FlipBook Counts</vt:lpstr>
      <vt:lpstr>virtualshowroom</vt:lpstr>
      <vt:lpstr>Section Performance</vt:lpstr>
      <vt:lpstr>Traffic source</vt:lpstr>
      <vt:lpstr>age&amp;gender</vt:lpstr>
      <vt:lpstr>browser</vt:lpstr>
      <vt:lpstr>operatingSystem</vt:lpstr>
      <vt:lpstr>Landing&amp;Exits</vt:lpstr>
      <vt:lpstr>kpimonthly</vt:lpstr>
      <vt:lpstr>tfsinKpi</vt:lpstr>
      <vt:lpstr>referringSites</vt:lpstr>
      <vt:lpstr>daywiseOneMonthVisits</vt:lpstr>
      <vt:lpstr>sesionIntrest</vt:lpstr>
      <vt:lpstr>networkReferral</vt:lpstr>
      <vt:lpstr>kpi-montly&amp;year</vt:lpstr>
      <vt:lpstr>Dealer-Website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2019-06-04T04:44:43Z</dcterms:created>
  <dcterms:modified xsi:type="dcterms:W3CDTF">2025-11-22T07:55:55Z</dcterms:modified>
</cp:coreProperties>
</file>